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macrosheets/sheet1.xml" ContentType="application/vnd.ms-excel.macro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7.xml" ContentType="application/vnd.openxmlformats-officedocument.drawing+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1.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uanc\OneDrive\Escritorio\proyecto juan pablo\"/>
    </mc:Choice>
  </mc:AlternateContent>
  <xr:revisionPtr revIDLastSave="0" documentId="13_ncr:1_{F334EE47-0FF1-47E3-81C9-4D061761870B}" xr6:coauthVersionLast="47" xr6:coauthVersionMax="47" xr10:uidLastSave="{00000000-0000-0000-0000-000000000000}"/>
  <bookViews>
    <workbookView xWindow="-120" yWindow="-120" windowWidth="20730" windowHeight="11160" firstSheet="1" activeTab="1" xr2:uid="{673F6AAF-0CFA-4257-B9C3-4C7969D5D692}"/>
  </bookViews>
  <sheets>
    <sheet name="Macro1" sheetId="2" r:id="rId1"/>
    <sheet name="introducción" sheetId="1" r:id="rId2"/>
    <sheet name="Resumen operaciones" sheetId="10" r:id="rId3"/>
    <sheet name="proyecciones" sheetId="3" r:id="rId4"/>
    <sheet name="cambio_de_base" sheetId="5" r:id="rId5"/>
    <sheet name="transformaciones_matriciales" sheetId="6" r:id="rId6"/>
    <sheet name="inversa" sheetId="4" r:id="rId7"/>
    <sheet name="Sumatoria_einstein" sheetId="7" r:id="rId8"/>
    <sheet name="cambio_base_de_matrices " sheetId="8" r:id="rId9"/>
    <sheet name="Gram schmidt" sheetId="9" r:id="rId10"/>
    <sheet name="eigenvectores" sheetId="11" state="hidden" r:id="rId11"/>
    <sheet name="diagonalización" sheetId="12" state="hidden" r:id="rId12"/>
    <sheet name="Hoja2" sheetId="13" r:id="rId13"/>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3" i="9" l="1"/>
  <c r="B12" i="9"/>
  <c r="A13" i="9"/>
  <c r="A12" i="9"/>
  <c r="B9" i="9"/>
  <c r="A9" i="9"/>
  <c r="H10" i="11"/>
  <c r="F34" i="7"/>
  <c r="E34" i="7"/>
  <c r="D34" i="7"/>
  <c r="C34" i="7"/>
  <c r="F33" i="7"/>
  <c r="E33" i="7"/>
  <c r="D33" i="7"/>
  <c r="C33" i="7"/>
  <c r="D20" i="8"/>
  <c r="D19" i="8"/>
  <c r="C14" i="6"/>
  <c r="B13" i="6"/>
  <c r="I23" i="5"/>
  <c r="H23" i="5"/>
  <c r="G23" i="5"/>
  <c r="H24" i="5"/>
  <c r="I24" i="5"/>
  <c r="H25" i="5"/>
  <c r="I25" i="5"/>
  <c r="G25" i="5"/>
  <c r="G24" i="5"/>
  <c r="A39" i="5"/>
  <c r="A15" i="5"/>
  <c r="A13" i="5"/>
  <c r="A11" i="5"/>
  <c r="A21" i="5"/>
  <c r="B42" i="5"/>
  <c r="B41" i="5"/>
  <c r="B46" i="5" l="1"/>
  <c r="B45" i="5"/>
  <c r="B58" i="5"/>
  <c r="C46" i="5"/>
  <c r="C45" i="5"/>
  <c r="B57" i="5"/>
  <c r="B50" i="5" l="1"/>
  <c r="B4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David Céspedes</author>
  </authors>
  <commentList>
    <comment ref="A13" authorId="0" shapeId="0" xr:uid="{041517C5-E4B9-4DB6-A80E-A0F8404D139D}">
      <text>
        <r>
          <rPr>
            <b/>
            <sz val="9"/>
            <color indexed="81"/>
            <rFont val="Tahoma"/>
            <family val="2"/>
          </rPr>
          <t>Juan David Céspedes:</t>
        </r>
        <r>
          <rPr>
            <sz val="9"/>
            <color indexed="81"/>
            <rFont val="Tahoma"/>
            <family val="2"/>
          </rPr>
          <t xml:space="preserve">
Hemos cometido el error a propósito, si bien la forma manual para calcularla es correcta, recuerda que por velocidad y eficiencia computacional se sugiere el metodo de la siguiente celda
</t>
        </r>
      </text>
    </comment>
    <comment ref="A21" authorId="0" shapeId="0" xr:uid="{ADA44EB5-D637-467C-8C08-2BCE788A9A09}">
      <text>
        <r>
          <rPr>
            <b/>
            <sz val="9"/>
            <color indexed="81"/>
            <rFont val="Tahoma"/>
            <family val="2"/>
          </rPr>
          <t>Juan David Céspedes:</t>
        </r>
        <r>
          <rPr>
            <sz val="9"/>
            <color indexed="81"/>
            <rFont val="Tahoma"/>
            <family val="2"/>
          </rPr>
          <t xml:space="preserve">
vectores ortogonales a*b=0</t>
        </r>
      </text>
    </comment>
    <comment ref="F21" authorId="0" shapeId="0" xr:uid="{6AD7A65A-CA6A-4D0C-9431-BB916388CD45}">
      <text>
        <r>
          <rPr>
            <b/>
            <sz val="9"/>
            <color indexed="81"/>
            <rFont val="Tahoma"/>
            <family val="2"/>
          </rPr>
          <t>Juan David Céspedes:</t>
        </r>
        <r>
          <rPr>
            <sz val="9"/>
            <color indexed="81"/>
            <rFont val="Tahoma"/>
            <family val="2"/>
          </rPr>
          <t xml:space="preserve">
los 1 en la diagonal son validos ya que el producto punto entre un vector y si mismo es linearmente independiente</t>
        </r>
      </text>
    </comment>
    <comment ref="A39" authorId="0" shapeId="0" xr:uid="{98C9B12D-EDE3-4CD7-AAC5-7DC63F552652}">
      <text>
        <r>
          <rPr>
            <b/>
            <sz val="9"/>
            <color indexed="81"/>
            <rFont val="Tahoma"/>
            <family val="2"/>
          </rPr>
          <t>Juan David Céspedes:</t>
        </r>
        <r>
          <rPr>
            <sz val="9"/>
            <color indexed="81"/>
            <rFont val="Tahoma"/>
            <family val="2"/>
          </rPr>
          <t xml:space="preserve">
verificación que los vectores de la base son ortogonales, es importante decir que si no son ortogonales un vector se puede expresar en terminos del otro por lo que no constituyen una base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David Céspedes</author>
  </authors>
  <commentList>
    <comment ref="G5" authorId="0" shapeId="0" xr:uid="{F3F44641-D3E6-4E29-B9DC-DC300BC03396}">
      <text>
        <r>
          <rPr>
            <b/>
            <sz val="9"/>
            <color indexed="81"/>
            <rFont val="Tahoma"/>
            <family val="2"/>
          </rPr>
          <t>Juan David Céspedes:</t>
        </r>
        <r>
          <rPr>
            <sz val="9"/>
            <color indexed="81"/>
            <rFont val="Tahoma"/>
            <family val="2"/>
          </rPr>
          <t xml:space="preserve">
Como ves el vector conserva su posición por eso esta matriz se llama identidad</t>
        </r>
      </text>
    </comment>
    <comment ref="B13" authorId="0" shapeId="0" xr:uid="{64843E20-AEB6-4E46-BCEB-12284B389916}">
      <text>
        <r>
          <rPr>
            <b/>
            <sz val="9"/>
            <color indexed="81"/>
            <rFont val="Tahoma"/>
            <family val="2"/>
          </rPr>
          <t>Juan David Céspedes:</t>
        </r>
        <r>
          <rPr>
            <sz val="9"/>
            <color indexed="81"/>
            <rFont val="Tahoma"/>
            <family val="2"/>
          </rPr>
          <t xml:space="preserve">
0,33=1/3
0,5=1/2</t>
        </r>
      </text>
    </comment>
    <comment ref="G25" authorId="0" shapeId="0" xr:uid="{90E09331-510F-4867-969C-23E82722DE71}">
      <text>
        <r>
          <rPr>
            <b/>
            <sz val="9"/>
            <color indexed="81"/>
            <rFont val="Tahoma"/>
            <family val="2"/>
          </rPr>
          <t>Juan David Céspedes:</t>
        </r>
        <r>
          <rPr>
            <sz val="9"/>
            <color indexed="81"/>
            <rFont val="Tahoma"/>
            <family val="2"/>
          </rPr>
          <t xml:space="preserve">
como vez gira en ambas coordenadas, eso se conoce como una inversión</t>
        </r>
      </text>
    </comment>
  </commentList>
</comments>
</file>

<file path=xl/sharedStrings.xml><?xml version="1.0" encoding="utf-8"?>
<sst xmlns="http://schemas.openxmlformats.org/spreadsheetml/2006/main" count="286" uniqueCount="192">
  <si>
    <t xml:space="preserve">Conclusion </t>
  </si>
  <si>
    <t>el producto de los vectores es ortogonal</t>
  </si>
  <si>
    <t>Direccion opuesta</t>
  </si>
  <si>
    <t>misma dirección</t>
  </si>
  <si>
    <t>proyección escalar</t>
  </si>
  <si>
    <t>b1</t>
  </si>
  <si>
    <t>b2</t>
  </si>
  <si>
    <t>Proyecciones</t>
  </si>
  <si>
    <t xml:space="preserve">Pasos </t>
  </si>
  <si>
    <t>Supongase el vector a y el Vector b</t>
  </si>
  <si>
    <t>a*b=(a1*b1)+(a2*b2)</t>
  </si>
  <si>
    <t>a</t>
  </si>
  <si>
    <t>b</t>
  </si>
  <si>
    <t>forma manual</t>
  </si>
  <si>
    <t>forma en excel</t>
  </si>
  <si>
    <t>Como es un sistema coordenado</t>
  </si>
  <si>
    <t>producto punto</t>
  </si>
  <si>
    <t>en el computador</t>
  </si>
  <si>
    <t>R2</t>
  </si>
  <si>
    <t>R3</t>
  </si>
  <si>
    <t>Sistema coordenado en R2</t>
  </si>
  <si>
    <t>Sistema coordenado en R3(ejemplo)</t>
  </si>
  <si>
    <t>vector elegido</t>
  </si>
  <si>
    <t>2. expresar el vector en términos de R2, como una ecuacion</t>
  </si>
  <si>
    <t>3*e1(primer componente)+4*e2, donde e1,e2 componen la base</t>
  </si>
  <si>
    <t xml:space="preserve"> Identificar el sistema coordenado, el producto punto debe ser ortogonal</t>
  </si>
  <si>
    <t>supongamos que los vectores elegidos del sistema coordenado son</t>
  </si>
  <si>
    <t>Producto punto</t>
  </si>
  <si>
    <t>Calcula las proyecciones del vector elegido</t>
  </si>
  <si>
    <t>Proyección v1 en b1</t>
  </si>
  <si>
    <t>proyección v1 en b2</t>
  </si>
  <si>
    <t>Multiplica la base por  la proyección</t>
  </si>
  <si>
    <t>b1*proy(v1,b1)</t>
  </si>
  <si>
    <t>b2*proy(v1*b2)</t>
  </si>
  <si>
    <t>Prueba</t>
  </si>
  <si>
    <t>suma los dos vectores</t>
  </si>
  <si>
    <t>Respuesta</t>
  </si>
  <si>
    <t xml:space="preserve">1. En un sistema  coordinado por los siguientes vectores </t>
  </si>
  <si>
    <t>2. el vector, conservando la misma dirección puede ser representado por las proyecciones</t>
  </si>
  <si>
    <t xml:space="preserve"> ¿Cómo calcular el producto punto?</t>
  </si>
  <si>
    <t>Sistema coordenado en R4(ejemplo)</t>
  </si>
  <si>
    <t>R4</t>
  </si>
  <si>
    <t>Comprobacion de independencia</t>
  </si>
  <si>
    <t xml:space="preserve">b1 </t>
  </si>
  <si>
    <t>b3</t>
  </si>
  <si>
    <t>1. Ya vimos los vectores del tema de cambio de base, ahora el objetivo princiipal es:
 verificar como las matrices con vectores ortogonales entre si(producto punto igual cero) pueden cambiar la dirección del los vectores</t>
  </si>
  <si>
    <t>Matriz identidad</t>
  </si>
  <si>
    <t>x</t>
  </si>
  <si>
    <t>movimiento</t>
  </si>
  <si>
    <t>utiliza la opción mult para multiplicar las matrices</t>
  </si>
  <si>
    <t>Ampliar los ejes</t>
  </si>
  <si>
    <t>3*3=9</t>
  </si>
  <si>
    <t>2*4=8</t>
  </si>
  <si>
    <t>Recoger los Ejes</t>
  </si>
  <si>
    <t>"1/3*3=1</t>
  </si>
  <si>
    <t>"1/2*4=2</t>
  </si>
  <si>
    <t>Girar 180 grados respecto al eje x</t>
  </si>
  <si>
    <t>Girar 180 grados respecto al eje y</t>
  </si>
  <si>
    <t>inversion de los dos ejes</t>
  </si>
  <si>
    <t>cambio del primer eje en el lugar del segundo, 
sobre el mismo cuadrante</t>
  </si>
  <si>
    <t>3-&gt;4</t>
  </si>
  <si>
    <t>4-&gt;3</t>
  </si>
  <si>
    <t>espejo diagonal</t>
  </si>
  <si>
    <t>espejo horizontal</t>
  </si>
  <si>
    <t>Espejos</t>
  </si>
  <si>
    <t>subir en diagonal</t>
  </si>
  <si>
    <t>composición</t>
  </si>
  <si>
    <t>Supongamos que A1 y A2 s le van a aplicar al vector que generaria</t>
  </si>
  <si>
    <t>A1</t>
  </si>
  <si>
    <t>A2</t>
  </si>
  <si>
    <t>se espera Ampliar los ejes +espejo diagonal</t>
  </si>
  <si>
    <t>seria</t>
  </si>
  <si>
    <t>A2*(A1*x)</t>
  </si>
  <si>
    <t>1. B1=A1*x</t>
  </si>
  <si>
    <t>2.B2=A2*B1</t>
  </si>
  <si>
    <t>Pasos</t>
  </si>
  <si>
    <t>B1</t>
  </si>
  <si>
    <t>i</t>
  </si>
  <si>
    <t>j</t>
  </si>
  <si>
    <t xml:space="preserve">sea la matriz a </t>
  </si>
  <si>
    <t>i será el número de columnas</t>
  </si>
  <si>
    <t>j será el número de filas</t>
  </si>
  <si>
    <t>sea la matriz b</t>
  </si>
  <si>
    <t>k</t>
  </si>
  <si>
    <t>será el numero de filas en este caso</t>
  </si>
  <si>
    <t>será el número de columnas</t>
  </si>
  <si>
    <t>si el arreglo es conformable</t>
  </si>
  <si>
    <t xml:space="preserve">x </t>
  </si>
  <si>
    <t>dimension matriz A</t>
  </si>
  <si>
    <t>dimension matriz B</t>
  </si>
  <si>
    <t>dimension matriz c</t>
  </si>
  <si>
    <t>A</t>
  </si>
  <si>
    <t>B</t>
  </si>
  <si>
    <t>c</t>
  </si>
  <si>
    <t>A'</t>
  </si>
  <si>
    <t>Mundo de panda</t>
  </si>
  <si>
    <t>mi mundo</t>
  </si>
  <si>
    <t>b1_</t>
  </si>
  <si>
    <t>b2_</t>
  </si>
  <si>
    <t xml:space="preserve">como </t>
  </si>
  <si>
    <t>y</t>
  </si>
  <si>
    <t>b2_=b2</t>
  </si>
  <si>
    <t>b1_=b2</t>
  </si>
  <si>
    <t>la matriz de transformación de panda seria</t>
  </si>
  <si>
    <t>transformación
de panda</t>
  </si>
  <si>
    <t>=</t>
  </si>
  <si>
    <t>imagina el vector de panda</t>
  </si>
  <si>
    <t>*</t>
  </si>
  <si>
    <t>matriz base de panda =B</t>
  </si>
  <si>
    <t>coordenadas en mi mundo=x</t>
  </si>
  <si>
    <t xml:space="preserve">matriz de panda inversa </t>
  </si>
  <si>
    <t>mi vector</t>
  </si>
  <si>
    <t>vector de panda=y</t>
  </si>
  <si>
    <t>coordenadas en el mundo de panda</t>
  </si>
  <si>
    <t>A*x</t>
  </si>
  <si>
    <t>Considere el siguiente problema</t>
  </si>
  <si>
    <t xml:space="preserve">Siguiendo la inversa podemos establecer que </t>
  </si>
  <si>
    <t>A^(-1)*A*x</t>
  </si>
  <si>
    <t>A^(-1)*B</t>
  </si>
  <si>
    <t xml:space="preserve">Aplicado a un problema práctico </t>
  </si>
  <si>
    <t>3x1+1x2=3</t>
  </si>
  <si>
    <t>2x1+2x2=4</t>
  </si>
  <si>
    <t>Esto se puede plantear como</t>
  </si>
  <si>
    <t>x1</t>
  </si>
  <si>
    <t>x2</t>
  </si>
  <si>
    <t>A^(-1)</t>
  </si>
  <si>
    <t>Metodología</t>
  </si>
  <si>
    <t>1. Para ver el código oprime Alt+F11</t>
  </si>
  <si>
    <t>2. Cuando salga si depurar o cancelar oprime cancelar</t>
  </si>
  <si>
    <t>Generalidades</t>
  </si>
  <si>
    <t>3. Esto es un prototipo, la versión definitiva esta en progreso</t>
  </si>
  <si>
    <r>
      <t xml:space="preserve">4. este recurso esta pensado para que los  estudiantes y profesores  puedan jugar y aprender con el código pero si desean
 jugar con funciones recomendamos este recurso: </t>
    </r>
    <r>
      <rPr>
        <b/>
        <sz val="11"/>
        <color theme="1"/>
        <rFont val="Calibri"/>
        <family val="2"/>
        <scheme val="minor"/>
      </rPr>
      <t>https://www.perucontable.com/excelcontable/las-formulas-matriciales/#:~:text=Una%20f%C3%B3rmula%20matricial%2C%20tambi%C3%A9n%20llamada,con%20una%20serie%20de%20datos.</t>
    </r>
  </si>
  <si>
    <t>5. Este recurso se presenta por la compatibilidad con versiones de  servidores viejos como windows 97 o zonas sin internet</t>
  </si>
  <si>
    <t>Vectores</t>
  </si>
  <si>
    <t>matrices</t>
  </si>
  <si>
    <t>7.determinantes e inversas se pueden calcular con</t>
  </si>
  <si>
    <t>8. si tiene que fijar una celda o conjunto de celdas orima f4</t>
  </si>
  <si>
    <t>6. presentamos una funcion que hace operaciones entre matrices, pero como resumen esta esta guía:</t>
  </si>
  <si>
    <t xml:space="preserve"> Espacio de juegos</t>
  </si>
  <si>
    <t>Matriz propuesta</t>
  </si>
  <si>
    <t>vectores propuestos</t>
  </si>
  <si>
    <t>Complejidad baja</t>
  </si>
  <si>
    <t>Complejidad media</t>
  </si>
  <si>
    <t>Complejidad Alta</t>
  </si>
  <si>
    <t>2. Cuando salga si depurar 
o finalizar oprime finalizar</t>
  </si>
  <si>
    <t>Imaginese una serie de vectores</t>
  </si>
  <si>
    <t>v1</t>
  </si>
  <si>
    <t>v2</t>
  </si>
  <si>
    <t>Base elegida</t>
  </si>
  <si>
    <t>base vector 1</t>
  </si>
  <si>
    <t>base vector 2</t>
  </si>
  <si>
    <t>Genera error</t>
  </si>
  <si>
    <t>Pensada para generar error colocar otra operación aparte de las validas op</t>
  </si>
  <si>
    <t>A*x=l*x</t>
  </si>
  <si>
    <t>(A*I-l*I)*X=0</t>
  </si>
  <si>
    <t>(A-l*I)*X=0</t>
  </si>
  <si>
    <t>det</t>
  </si>
  <si>
    <t>d</t>
  </si>
  <si>
    <t>l</t>
  </si>
  <si>
    <t>(</t>
  </si>
  <si>
    <t>-</t>
  </si>
  <si>
    <t>)</t>
  </si>
  <si>
    <t>l^2-(a+d)l+ad-bc=0</t>
  </si>
  <si>
    <t>a-l</t>
  </si>
  <si>
    <t>d-l</t>
  </si>
  <si>
    <t>(a-l)*(d-l)-b*c</t>
  </si>
  <si>
    <t>Desarrollandondo</t>
  </si>
  <si>
    <t xml:space="preserve"> el determinante</t>
  </si>
  <si>
    <t>Polinomio</t>
  </si>
  <si>
    <t>característico</t>
  </si>
  <si>
    <t xml:space="preserve">Considere que el movimiento de las particulas en el espacio varia con el tiempo y dada que una matriz define el el movimiento en un vector </t>
  </si>
  <si>
    <t>en vez de definir la multiplicación de varias matrices de rotación resulta conveniente el uso de matrices diagonales</t>
  </si>
  <si>
    <t>ejemplo</t>
  </si>
  <si>
    <t>debe ser igual</t>
  </si>
  <si>
    <t>Pruebalo</t>
  </si>
  <si>
    <t>2^3</t>
  </si>
  <si>
    <t>ahora supongamos que queremos saber donde esta un vector en la posición n=2</t>
  </si>
  <si>
    <t>Sin embargo esto computacionalemente aunque en el papel suena bien no suele ser utilizado en su lugar proponemos</t>
  </si>
  <si>
    <t xml:space="preserve">encuentre los eigenvalores de </t>
  </si>
  <si>
    <t>Tomamos cualquier vector</t>
  </si>
  <si>
    <t>multiplicamos (A*v1)</t>
  </si>
  <si>
    <t>Dado que son vectores en R2 el set debe ser dependiente</t>
  </si>
  <si>
    <t>A*v1</t>
  </si>
  <si>
    <t>A^2*v1</t>
  </si>
  <si>
    <t>construimos la matriz</t>
  </si>
  <si>
    <t>A_1</t>
  </si>
  <si>
    <t>e1</t>
  </si>
  <si>
    <t>e2</t>
  </si>
  <si>
    <t>n1</t>
  </si>
  <si>
    <t>n2</t>
  </si>
  <si>
    <t>v2-v2*e1*e1</t>
  </si>
  <si>
    <t>v2*e1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</si>
</sst>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font>
    <font>
      <u/>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name val="Calibri"/>
      <family val="2"/>
      <scheme val="minor"/>
    </font>
    <font>
      <sz val="11"/>
      <color rgb="FFFF0000"/>
      <name val="Calibri"/>
      <family val="2"/>
      <scheme val="minor"/>
    </font>
    <font>
      <sz val="8"/>
      <name val="Calibri"/>
      <family val="2"/>
      <scheme val="minor"/>
    </font>
    <font>
      <b/>
      <sz val="11"/>
      <name val="Calibri"/>
      <family val="2"/>
      <scheme val="minor"/>
    </font>
    <font>
      <b/>
      <sz val="11"/>
      <color rgb="FFFF0000"/>
      <name val="Calibri"/>
      <family val="2"/>
      <scheme val="minor"/>
    </font>
  </fonts>
  <fills count="11">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7"/>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53">
    <xf numFmtId="0" fontId="0" fillId="0" borderId="0" xfId="0"/>
    <xf numFmtId="0" fontId="2" fillId="0" borderId="0" xfId="0" applyFont="1"/>
    <xf numFmtId="0" fontId="3" fillId="0" borderId="0" xfId="0" applyFont="1"/>
    <xf numFmtId="0" fontId="0" fillId="2" borderId="0" xfId="0" applyFill="1"/>
    <xf numFmtId="0" fontId="0" fillId="3" borderId="0" xfId="0" applyFill="1"/>
    <xf numFmtId="0" fontId="0" fillId="4" borderId="0" xfId="0" applyFill="1"/>
    <xf numFmtId="2" fontId="0" fillId="0" borderId="0" xfId="0" applyNumberFormat="1"/>
    <xf numFmtId="0" fontId="6" fillId="5" borderId="0" xfId="0" applyFont="1" applyFill="1"/>
    <xf numFmtId="0" fontId="0" fillId="5" borderId="0" xfId="0" applyFill="1"/>
    <xf numFmtId="0" fontId="0" fillId="6" borderId="0" xfId="0" applyFill="1"/>
    <xf numFmtId="0" fontId="0" fillId="7" borderId="0" xfId="0" applyFill="1"/>
    <xf numFmtId="0" fontId="0" fillId="8" borderId="0" xfId="0" applyFill="1"/>
    <xf numFmtId="0" fontId="0" fillId="0" borderId="0" xfId="0" applyAlignment="1"/>
    <xf numFmtId="0" fontId="0" fillId="0" borderId="0" xfId="0" applyFill="1"/>
    <xf numFmtId="0" fontId="0" fillId="9" borderId="0" xfId="0" applyFill="1"/>
    <xf numFmtId="0" fontId="0" fillId="4" borderId="0" xfId="0" applyFill="1" applyAlignment="1">
      <alignment horizontal="left"/>
    </xf>
    <xf numFmtId="0" fontId="0" fillId="8" borderId="0" xfId="0" applyFill="1" applyAlignment="1">
      <alignment horizontal="left"/>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Fill="1" applyBorder="1"/>
    <xf numFmtId="0" fontId="3" fillId="0" borderId="1" xfId="0" applyFont="1" applyBorder="1"/>
    <xf numFmtId="0" fontId="3" fillId="0" borderId="0" xfId="0" applyFont="1" applyBorder="1"/>
    <xf numFmtId="0" fontId="7" fillId="0" borderId="0" xfId="0" applyFont="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7" fillId="0" borderId="0" xfId="0" applyFont="1" applyBorder="1"/>
    <xf numFmtId="0" fontId="9" fillId="0" borderId="0" xfId="0" applyFont="1" applyBorder="1"/>
    <xf numFmtId="0" fontId="7" fillId="0" borderId="0" xfId="0" applyFont="1" applyFill="1" applyBorder="1"/>
    <xf numFmtId="0" fontId="10" fillId="0" borderId="0" xfId="0" applyFont="1" applyBorder="1"/>
    <xf numFmtId="0" fontId="3" fillId="0" borderId="9" xfId="0" applyFont="1" applyBorder="1"/>
    <xf numFmtId="0" fontId="3" fillId="0" borderId="11" xfId="0" applyFont="1" applyBorder="1"/>
    <xf numFmtId="0" fontId="3" fillId="0" borderId="0" xfId="0" applyFont="1" applyFill="1" applyBorder="1" applyAlignment="1">
      <alignment horizontal="center"/>
    </xf>
    <xf numFmtId="0" fontId="3" fillId="0" borderId="0" xfId="0" applyFont="1" applyFill="1" applyBorder="1" applyAlignment="1">
      <alignment horizontal="right"/>
    </xf>
    <xf numFmtId="0" fontId="3" fillId="0" borderId="12" xfId="0" applyFont="1" applyBorder="1"/>
    <xf numFmtId="0" fontId="3" fillId="0" borderId="14" xfId="0" applyFont="1" applyBorder="1"/>
    <xf numFmtId="0" fontId="3" fillId="0" borderId="12" xfId="0" applyFont="1" applyBorder="1" applyAlignment="1">
      <alignment horizontal="left"/>
    </xf>
    <xf numFmtId="0" fontId="3" fillId="0" borderId="11" xfId="0" applyFont="1" applyBorder="1" applyAlignment="1">
      <alignment horizontal="left"/>
    </xf>
    <xf numFmtId="0" fontId="0" fillId="10" borderId="0" xfId="0" applyFill="1"/>
    <xf numFmtId="0" fontId="0" fillId="2" borderId="0" xfId="0" applyFill="1" applyAlignment="1">
      <alignment horizontal="right"/>
    </xf>
    <xf numFmtId="0" fontId="3" fillId="0" borderId="2" xfId="0" applyFont="1" applyBorder="1" applyAlignment="1">
      <alignment horizontal="center"/>
    </xf>
    <xf numFmtId="0" fontId="0" fillId="0" borderId="0" xfId="0" applyAlignment="1">
      <alignment horizontal="lef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sharedStrings" Target="sharedStrings.xml"/><Relationship Id="rId1" Type="http://schemas.microsoft.com/office/2006/relationships/xlMacrosheet" Target="macrosheets/sheet1.xml"/><Relationship Id="rId6" Type="http://schemas.openxmlformats.org/officeDocument/2006/relationships/worksheet" Target="worksheets/sheet5.xml"/><Relationship Id="rId11" Type="http://schemas.openxmlformats.org/officeDocument/2006/relationships/worksheet" Target="worksheets/sheet10.xml"/><Relationship Id="rId5" Type="http://schemas.openxmlformats.org/officeDocument/2006/relationships/worksheet" Target="worksheets/sheet4.xml"/><Relationship Id="rId15" Type="http://schemas.openxmlformats.org/officeDocument/2006/relationships/styles" Target="styles.xml"/><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3</xdr:row>
          <xdr:rowOff>47625</xdr:rowOff>
        </xdr:from>
        <xdr:to>
          <xdr:col>9</xdr:col>
          <xdr:colOff>85725</xdr:colOff>
          <xdr:row>5</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Operaciones Entre Matrices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xdr:row>
          <xdr:rowOff>171450</xdr:rowOff>
        </xdr:from>
        <xdr:to>
          <xdr:col>9</xdr:col>
          <xdr:colOff>47625</xdr:colOff>
          <xdr:row>19</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Sacar Inversa o Determinante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9525</xdr:rowOff>
        </xdr:from>
        <xdr:to>
          <xdr:col>4</xdr:col>
          <xdr:colOff>19050</xdr:colOff>
          <xdr:row>8</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Visitar proyectar vectores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85725</xdr:colOff>
          <xdr:row>25</xdr:row>
          <xdr:rowOff>9525</xdr:rowOff>
        </xdr:from>
        <xdr:to>
          <xdr:col>9</xdr:col>
          <xdr:colOff>38100</xdr:colOff>
          <xdr:row>26</xdr:row>
          <xdr:rowOff>180975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cambio de 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9</xdr:row>
          <xdr:rowOff>0</xdr:rowOff>
        </xdr:from>
        <xdr:to>
          <xdr:col>4</xdr:col>
          <xdr:colOff>47625</xdr:colOff>
          <xdr:row>10</xdr:row>
          <xdr:rowOff>180975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Visitar Cambio de 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171450</xdr:rowOff>
        </xdr:from>
        <xdr:to>
          <xdr:col>3</xdr:col>
          <xdr:colOff>752475</xdr:colOff>
          <xdr:row>14</xdr:row>
          <xdr:rowOff>9525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Visitar Transformaciones matriciales sobre vectores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17</xdr:row>
          <xdr:rowOff>180975</xdr:rowOff>
        </xdr:from>
        <xdr:to>
          <xdr:col>3</xdr:col>
          <xdr:colOff>742950</xdr:colOff>
          <xdr:row>20</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Visitar Sumatoria de Einstein(matrices no cuadradas)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21</xdr:row>
          <xdr:rowOff>180975</xdr:rowOff>
        </xdr:from>
        <xdr:to>
          <xdr:col>3</xdr:col>
          <xdr:colOff>752475</xdr:colOff>
          <xdr:row>24</xdr:row>
          <xdr:rowOff>104775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Cambio de Base con 2 planos diferentes(matrices)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15</xdr:row>
          <xdr:rowOff>0</xdr:rowOff>
        </xdr:from>
        <xdr:to>
          <xdr:col>3</xdr:col>
          <xdr:colOff>723900</xdr:colOff>
          <xdr:row>16</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Inversa y determinante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xdr:row>
          <xdr:rowOff>9525</xdr:rowOff>
        </xdr:from>
        <xdr:to>
          <xdr:col>4</xdr:col>
          <xdr:colOff>0</xdr:colOff>
          <xdr:row>5</xdr:row>
          <xdr:rowOff>28575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Resumen Operaciones y matrices</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xdr:twoCellAnchor>
    <xdr:from>
      <xdr:col>14</xdr:col>
      <xdr:colOff>180975</xdr:colOff>
      <xdr:row>11</xdr:row>
      <xdr:rowOff>57150</xdr:rowOff>
    </xdr:from>
    <xdr:to>
      <xdr:col>22</xdr:col>
      <xdr:colOff>571500</xdr:colOff>
      <xdr:row>13</xdr:row>
      <xdr:rowOff>142875</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7535525" y="2152650"/>
          <a:ext cx="64865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rgbClr val="FF0000"/>
              </a:solidFill>
            </a:rPr>
            <a:t>Lo escrito en  rojo que se enuncia a continuación corresponden a bugs identificados y corregidos  y se espera que solo esté presente en la fase de desarrollo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8</xdr:row>
          <xdr:rowOff>152400</xdr:rowOff>
        </xdr:from>
        <xdr:to>
          <xdr:col>3</xdr:col>
          <xdr:colOff>314325</xdr:colOff>
          <xdr:row>11</xdr:row>
          <xdr:rowOff>171450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Operaciones Entre Matrices</a:t>
              </a:r>
            </a:p>
          </xdr:txBody>
        </xdr:sp>
        <xdr:clientData fPrintsWithSheet="0"/>
      </xdr:twoCellAnchor>
    </mc:Choice>
    <mc:Fallback/>
  </mc:AlternateContent>
  <xdr:twoCellAnchor editAs="oneCell">
    <xdr:from>
      <xdr:col>1</xdr:col>
      <xdr:colOff>28575</xdr:colOff>
      <xdr:row>12</xdr:row>
      <xdr:rowOff>180975</xdr:rowOff>
    </xdr:from>
    <xdr:to>
      <xdr:col>5</xdr:col>
      <xdr:colOff>403497</xdr:colOff>
      <xdr:row>25</xdr:row>
      <xdr:rowOff>133350</xdr:rowOff>
    </xdr:to>
    <xdr:pic>
      <xdr:nvPicPr>
        <xdr:cNvPr id="4" name="Imagen 3" descr="Operaciones con vectores - Qué es, definición y concepto | 2022 |  Economipedia">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 y="4638675"/>
          <a:ext cx="3422922" cy="2428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704850</xdr:colOff>
      <xdr:row>25</xdr:row>
      <xdr:rowOff>9525</xdr:rowOff>
    </xdr:from>
    <xdr:to>
      <xdr:col>9</xdr:col>
      <xdr:colOff>485775</xdr:colOff>
      <xdr:row>33</xdr:row>
      <xdr:rowOff>104775</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a:stretch>
          <a:fillRect/>
        </a:stretch>
      </xdr:blipFill>
      <xdr:spPr>
        <a:xfrm>
          <a:off x="4514850" y="6943725"/>
          <a:ext cx="2828925" cy="1619250"/>
        </a:xfrm>
        <a:prstGeom prst="rect">
          <a:avLst/>
        </a:prstGeom>
      </xdr:spPr>
    </xdr:pic>
    <xdr:clientData/>
  </xdr:twoCellAnchor>
  <xdr:twoCellAnchor editAs="oneCell">
    <xdr:from>
      <xdr:col>5</xdr:col>
      <xdr:colOff>729029</xdr:colOff>
      <xdr:row>14</xdr:row>
      <xdr:rowOff>38100</xdr:rowOff>
    </xdr:from>
    <xdr:to>
      <xdr:col>11</xdr:col>
      <xdr:colOff>168519</xdr:colOff>
      <xdr:row>25</xdr:row>
      <xdr:rowOff>28575</xdr:rowOff>
    </xdr:to>
    <xdr:pic>
      <xdr:nvPicPr>
        <xdr:cNvPr id="7" name="Imagen 6" descr="▷ Cómo sumar y restar matrices (ejercicios resueltos)">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39029" y="4876800"/>
          <a:ext cx="4011490" cy="2085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257175</xdr:colOff>
          <xdr:row>37</xdr:row>
          <xdr:rowOff>171450</xdr:rowOff>
        </xdr:from>
        <xdr:to>
          <xdr:col>3</xdr:col>
          <xdr:colOff>247650</xdr:colOff>
          <xdr:row>40</xdr:row>
          <xdr:rowOff>9525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2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Sacar Inversa o Determinante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185737</xdr:rowOff>
    </xdr:from>
    <xdr:ext cx="2276475" cy="195263"/>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5819775" y="1709737"/>
              <a:ext cx="2276475" cy="1952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sSup>
                      <m:sSupPr>
                        <m:ctrlPr>
                          <a:rPr lang="es-CO" sz="1100" b="0" i="1">
                            <a:latin typeface="Cambria Math" panose="02040503050406030204" pitchFamily="18" charset="0"/>
                          </a:rPr>
                        </m:ctrlPr>
                      </m:sSupPr>
                      <m:e>
                        <m:sSup>
                          <m:sSupPr>
                            <m:ctrlPr>
                              <a:rPr lang="es-CO" sz="1100" b="0" i="1">
                                <a:solidFill>
                                  <a:srgbClr val="836967"/>
                                </a:solidFill>
                                <a:latin typeface="Cambria Math" panose="02040503050406030204" pitchFamily="18" charset="0"/>
                              </a:rPr>
                            </m:ctrlPr>
                          </m:sSupPr>
                          <m:e>
                            <m:r>
                              <a:rPr lang="es-CO" sz="1100" b="0" i="1">
                                <a:solidFill>
                                  <a:srgbClr val="836967"/>
                                </a:solidFill>
                                <a:latin typeface="Cambria Math" panose="02040503050406030204" pitchFamily="18" charset="0"/>
                              </a:rPr>
                              <m:t>𝑐</m:t>
                            </m:r>
                          </m:e>
                          <m:sup>
                            <m:r>
                              <a:rPr lang="es-CO" sz="1100" b="0" i="1">
                                <a:latin typeface="Cambria Math" panose="02040503050406030204" pitchFamily="18" charset="0"/>
                              </a:rPr>
                              <m:t>2</m:t>
                            </m:r>
                          </m:sup>
                        </m:sSup>
                        <m:r>
                          <a:rPr lang="es-CO" sz="1100" b="0" i="1">
                            <a:latin typeface="Cambria Math" panose="02040503050406030204" pitchFamily="18" charset="0"/>
                          </a:rPr>
                          <m:t>=</m:t>
                        </m:r>
                        <m:sSup>
                          <m:sSupPr>
                            <m:ctrlPr>
                              <a:rPr lang="es-CO" sz="1100" b="0" i="1">
                                <a:latin typeface="Cambria Math" panose="02040503050406030204" pitchFamily="18" charset="0"/>
                              </a:rPr>
                            </m:ctrlPr>
                          </m:sSupPr>
                          <m:e>
                            <m:r>
                              <a:rPr lang="es-CO" sz="1100" b="0" i="1">
                                <a:latin typeface="Cambria Math" panose="02040503050406030204" pitchFamily="18" charset="0"/>
                              </a:rPr>
                              <m:t>𝑎</m:t>
                            </m:r>
                          </m:e>
                          <m:sup>
                            <m:r>
                              <a:rPr lang="es-CO" sz="1100" b="0" i="1">
                                <a:latin typeface="Cambria Math" panose="02040503050406030204" pitchFamily="18" charset="0"/>
                              </a:rPr>
                              <m:t>2</m:t>
                            </m:r>
                          </m:sup>
                        </m:sSup>
                        <m:r>
                          <a:rPr lang="es-CO" sz="1100" b="0" i="1">
                            <a:latin typeface="Cambria Math" panose="02040503050406030204" pitchFamily="18" charset="0"/>
                          </a:rPr>
                          <m:t>+</m:t>
                        </m:r>
                        <m:sSup>
                          <m:sSupPr>
                            <m:ctrlPr>
                              <a:rPr lang="es-CO" sz="1100" b="0" i="1">
                                <a:solidFill>
                                  <a:srgbClr val="836967"/>
                                </a:solidFill>
                                <a:latin typeface="Cambria Math" panose="02040503050406030204" pitchFamily="18" charset="0"/>
                              </a:rPr>
                            </m:ctrlPr>
                          </m:sSupPr>
                          <m:e>
                            <m:r>
                              <a:rPr lang="es-CO" sz="1100" b="0" i="1">
                                <a:latin typeface="Cambria Math" panose="02040503050406030204" pitchFamily="18" charset="0"/>
                              </a:rPr>
                              <m:t>𝑏</m:t>
                            </m:r>
                          </m:e>
                          <m:sup>
                            <m:r>
                              <a:rPr lang="es-CO" sz="1100" b="0" i="1">
                                <a:latin typeface="Cambria Math" panose="02040503050406030204" pitchFamily="18" charset="0"/>
                              </a:rPr>
                              <m:t>2</m:t>
                            </m:r>
                          </m:sup>
                        </m:sSup>
                        <m:r>
                          <a:rPr lang="es-CO" sz="1100" b="0" i="1">
                            <a:latin typeface="Cambria Math" panose="02040503050406030204" pitchFamily="18" charset="0"/>
                          </a:rPr>
                          <m:t>−2</m:t>
                        </m:r>
                        <m:r>
                          <a:rPr lang="es-CO" sz="1100" b="0" i="1">
                            <a:latin typeface="Cambria Math" panose="02040503050406030204" pitchFamily="18" charset="0"/>
                          </a:rPr>
                          <m:t>𝑎𝑏</m:t>
                        </m:r>
                        <m:func>
                          <m:funcPr>
                            <m:ctrlPr>
                              <a:rPr lang="es-CO" sz="1100" b="0" i="1">
                                <a:latin typeface="Cambria Math" panose="02040503050406030204" pitchFamily="18" charset="0"/>
                              </a:rPr>
                            </m:ctrlPr>
                          </m:funcPr>
                          <m:fName>
                            <m:r>
                              <m:rPr>
                                <m:sty m:val="p"/>
                              </m:rPr>
                              <a:rPr lang="es-CO" sz="1100" b="0" i="1">
                                <a:latin typeface="Cambria Math" panose="02040503050406030204" pitchFamily="18" charset="0"/>
                              </a:rPr>
                              <m:t>cos</m:t>
                            </m:r>
                          </m:fName>
                          <m:e>
                            <m:r>
                              <a:rPr lang="es-CO" sz="1100" b="0" i="1">
                                <a:latin typeface="Cambria Math" panose="02040503050406030204" pitchFamily="18" charset="0"/>
                              </a:rPr>
                              <m:t>𝜃</m:t>
                            </m:r>
                          </m:e>
                        </m:func>
                      </m:e>
                      <m:sup/>
                    </m:sSup>
                  </m:oMath>
                </m:oMathPara>
              </a14:m>
              <a:endParaRPr lang="es-CO" sz="1100"/>
            </a:p>
          </xdr:txBody>
        </xdr:sp>
      </mc:Choice>
      <mc:Fallback xmlns="">
        <xdr:sp macro="" textlink="">
          <xdr:nvSpPr>
            <xdr:cNvPr id="2" name="CuadroTexto 1">
              <a:extLst>
                <a:ext uri="{FF2B5EF4-FFF2-40B4-BE49-F238E27FC236}">
                  <a16:creationId xmlns:a16="http://schemas.microsoft.com/office/drawing/2014/main" id="{93CDDB35-BD05-4F51-B152-DFF544F769A9}"/>
                </a:ext>
              </a:extLst>
            </xdr:cNvPr>
            <xdr:cNvSpPr txBox="1"/>
          </xdr:nvSpPr>
          <xdr:spPr>
            <a:xfrm>
              <a:off x="5819775" y="1709737"/>
              <a:ext cx="2276475" cy="1952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CO" sz="1100" b="0" i="0">
                  <a:latin typeface="Cambria Math" panose="02040503050406030204" pitchFamily="18" charset="0"/>
                </a:rPr>
                <a:t>〖</a:t>
              </a:r>
              <a:r>
                <a:rPr lang="es-CO" sz="1100" b="0" i="0">
                  <a:solidFill>
                    <a:srgbClr val="836967"/>
                  </a:solidFill>
                  <a:latin typeface="Cambria Math" panose="02040503050406030204" pitchFamily="18" charset="0"/>
                </a:rPr>
                <a:t>𝑐^</a:t>
              </a:r>
              <a:r>
                <a:rPr lang="es-CO" sz="1100" b="0" i="0">
                  <a:latin typeface="Cambria Math" panose="02040503050406030204" pitchFamily="18" charset="0"/>
                </a:rPr>
                <a:t>2=𝑎^2+𝑏</a:t>
              </a:r>
              <a:r>
                <a:rPr lang="es-CO" sz="1100" b="0" i="0">
                  <a:solidFill>
                    <a:srgbClr val="836967"/>
                  </a:solidFill>
                  <a:latin typeface="Cambria Math" panose="02040503050406030204" pitchFamily="18" charset="0"/>
                </a:rPr>
                <a:t>^</a:t>
              </a:r>
              <a:r>
                <a:rPr lang="es-CO" sz="1100" b="0" i="0">
                  <a:latin typeface="Cambria Math" panose="02040503050406030204" pitchFamily="18" charset="0"/>
                </a:rPr>
                <a:t>2−2𝑎𝑏 cos⁡𝜃〗^</a:t>
              </a:r>
              <a:endParaRPr lang="es-CO" sz="1100"/>
            </a:p>
          </xdr:txBody>
        </xdr:sp>
      </mc:Fallback>
    </mc:AlternateContent>
    <xdr:clientData/>
  </xdr:oneCellAnchor>
  <xdr:oneCellAnchor>
    <xdr:from>
      <xdr:col>0</xdr:col>
      <xdr:colOff>47625</xdr:colOff>
      <xdr:row>2</xdr:row>
      <xdr:rowOff>23812</xdr:rowOff>
    </xdr:from>
    <xdr:ext cx="2249077" cy="172227"/>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6143625" y="1928812"/>
              <a:ext cx="22490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d>
                    <m:dPr>
                      <m:begChr m:val="|"/>
                      <m:endChr m:val="|"/>
                      <m:ctrlPr>
                        <a:rPr lang="es-CO" sz="1100" b="0" i="1">
                          <a:latin typeface="Cambria Math" panose="02040503050406030204" pitchFamily="18" charset="0"/>
                        </a:rPr>
                      </m:ctrlPr>
                    </m:dPr>
                    <m:e>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𝑠</m:t>
                      </m:r>
                    </m:e>
                  </m:d>
                  <m:r>
                    <a:rPr lang="es-CO" sz="1100" b="0" i="1">
                      <a:latin typeface="Cambria Math" panose="02040503050406030204" pitchFamily="18" charset="0"/>
                    </a:rPr>
                    <m:t>=</m:t>
                  </m:r>
                  <m:d>
                    <m:dPr>
                      <m:begChr m:val="|"/>
                      <m:endChr m:val="|"/>
                      <m:ctrlPr>
                        <a:rPr lang="es-CO" sz="1100" b="0" i="1">
                          <a:latin typeface="Cambria Math" panose="02040503050406030204" pitchFamily="18" charset="0"/>
                        </a:rPr>
                      </m:ctrlPr>
                    </m:dPr>
                    <m:e>
                      <m:r>
                        <a:rPr lang="es-CO" sz="1100" b="0" i="1">
                          <a:latin typeface="Cambria Math" panose="02040503050406030204" pitchFamily="18" charset="0"/>
                        </a:rPr>
                        <m:t>𝑟</m:t>
                      </m:r>
                    </m:e>
                  </m:d>
                  <m:r>
                    <a:rPr lang="es-CO" sz="1100" b="0" i="1">
                      <a:latin typeface="Cambria Math" panose="02040503050406030204" pitchFamily="18" charset="0"/>
                    </a:rPr>
                    <m:t>^2+</m:t>
                  </m:r>
                  <m:d>
                    <m:dPr>
                      <m:begChr m:val="|"/>
                      <m:endChr m:val="|"/>
                      <m:ctrlPr>
                        <a:rPr lang="es-CO" sz="1100" b="0" i="1">
                          <a:latin typeface="Cambria Math" panose="02040503050406030204" pitchFamily="18" charset="0"/>
                        </a:rPr>
                      </m:ctrlPr>
                    </m:dPr>
                    <m:e>
                      <m:r>
                        <a:rPr lang="es-CO" sz="1100" b="0" i="1">
                          <a:latin typeface="Cambria Math" panose="02040503050406030204" pitchFamily="18" charset="0"/>
                        </a:rPr>
                        <m:t>𝑠</m:t>
                      </m:r>
                    </m:e>
                  </m:d>
                  <m:r>
                    <a:rPr lang="es-CO" sz="1100" b="0" i="1">
                      <a:latin typeface="Cambria Math" panose="02040503050406030204" pitchFamily="18" charset="0"/>
                    </a:rPr>
                    <m:t>^2−</m:t>
                  </m:r>
                </m:oMath>
              </a14:m>
              <a:r>
                <a:rPr lang="es-CO" sz="1100"/>
                <a:t>2(r*s)</a:t>
              </a:r>
              <a14:m>
                <m:oMath xmlns:m="http://schemas.openxmlformats.org/officeDocument/2006/math">
                  <m:func>
                    <m:funcPr>
                      <m:ctrlPr>
                        <a:rPr lang="es-CO" sz="1100" b="0" i="1">
                          <a:solidFill>
                            <a:schemeClr val="tx1"/>
                          </a:solidFill>
                          <a:effectLst/>
                          <a:latin typeface="Cambria Math" panose="02040503050406030204" pitchFamily="18" charset="0"/>
                          <a:ea typeface="+mn-ea"/>
                          <a:cs typeface="+mn-cs"/>
                        </a:rPr>
                      </m:ctrlPr>
                    </m:funcPr>
                    <m:fName>
                      <m:r>
                        <a:rPr lang="es-CO" sz="1100" b="0" i="1">
                          <a:solidFill>
                            <a:schemeClr val="tx1"/>
                          </a:solidFill>
                          <a:effectLst/>
                          <a:latin typeface="Cambria Math" panose="02040503050406030204" pitchFamily="18" charset="0"/>
                          <a:ea typeface="+mn-ea"/>
                          <a:cs typeface="+mn-cs"/>
                        </a:rPr>
                        <m:t>∗</m:t>
                      </m:r>
                      <m:r>
                        <m:rPr>
                          <m:sty m:val="p"/>
                        </m:rPr>
                        <a:rPr lang="es-CO" sz="1100" b="0" i="1">
                          <a:solidFill>
                            <a:schemeClr val="tx1"/>
                          </a:solidFill>
                          <a:effectLst/>
                          <a:latin typeface="Cambria Math" panose="02040503050406030204" pitchFamily="18" charset="0"/>
                          <a:ea typeface="+mn-ea"/>
                          <a:cs typeface="+mn-cs"/>
                        </a:rPr>
                        <m:t>cos</m:t>
                      </m:r>
                    </m:fName>
                    <m:e>
                      <m:r>
                        <a:rPr lang="es-CO" sz="1100" b="0" i="1">
                          <a:solidFill>
                            <a:schemeClr val="tx1"/>
                          </a:solidFill>
                          <a:effectLst/>
                          <a:latin typeface="Cambria Math" panose="02040503050406030204" pitchFamily="18" charset="0"/>
                          <a:ea typeface="+mn-ea"/>
                          <a:cs typeface="+mn-cs"/>
                        </a:rPr>
                        <m:t>𝜃</m:t>
                      </m:r>
                    </m:e>
                  </m:func>
                </m:oMath>
              </a14:m>
              <a:endParaRPr lang="es-CO" sz="1100"/>
            </a:p>
          </xdr:txBody>
        </xdr:sp>
      </mc:Choice>
      <mc:Fallback xmlns="">
        <xdr:sp macro="" textlink="">
          <xdr:nvSpPr>
            <xdr:cNvPr id="3" name="CuadroTexto 2">
              <a:extLst>
                <a:ext uri="{FF2B5EF4-FFF2-40B4-BE49-F238E27FC236}">
                  <a16:creationId xmlns:a16="http://schemas.microsoft.com/office/drawing/2014/main" id="{2DE549A8-2411-4626-AD93-D0222A298FA5}"/>
                </a:ext>
              </a:extLst>
            </xdr:cNvPr>
            <xdr:cNvSpPr txBox="1"/>
          </xdr:nvSpPr>
          <xdr:spPr>
            <a:xfrm>
              <a:off x="6143625" y="1928812"/>
              <a:ext cx="22490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Cambria Math" panose="02040503050406030204" pitchFamily="18" charset="0"/>
                </a:rPr>
                <a:t>|𝑟−𝑠|=|𝑟|^2+|𝑠|^2−</a:t>
              </a:r>
              <a:r>
                <a:rPr lang="es-CO" sz="1100"/>
                <a:t>2(r*s)</a:t>
              </a:r>
              <a:r>
                <a:rPr lang="es-CO" sz="1100" b="0" i="0">
                  <a:solidFill>
                    <a:schemeClr val="tx1"/>
                  </a:solidFill>
                  <a:effectLst/>
                  <a:latin typeface="+mn-lt"/>
                  <a:ea typeface="+mn-ea"/>
                  <a:cs typeface="+mn-cs"/>
                </a:rPr>
                <a:t>〖</a:t>
              </a:r>
              <a:r>
                <a:rPr lang="es-CO" sz="1100" b="0" i="0">
                  <a:solidFill>
                    <a:schemeClr val="tx1"/>
                  </a:solidFill>
                  <a:effectLst/>
                  <a:latin typeface="Cambria Math" panose="02040503050406030204" pitchFamily="18" charset="0"/>
                  <a:ea typeface="+mn-ea"/>
                  <a:cs typeface="+mn-cs"/>
                </a:rPr>
                <a:t>∗</a:t>
              </a:r>
              <a:r>
                <a:rPr lang="es-CO" sz="1100" b="0" i="0">
                  <a:solidFill>
                    <a:schemeClr val="tx1"/>
                  </a:solidFill>
                  <a:effectLst/>
                  <a:latin typeface="+mn-lt"/>
                  <a:ea typeface="+mn-ea"/>
                  <a:cs typeface="+mn-cs"/>
                </a:rPr>
                <a:t>cos〗⁡𝜃</a:t>
              </a:r>
              <a:endParaRPr lang="es-CO" sz="1100"/>
            </a:p>
          </xdr:txBody>
        </xdr:sp>
      </mc:Fallback>
    </mc:AlternateContent>
    <xdr:clientData/>
  </xdr:oneCellAnchor>
  <xdr:oneCellAnchor>
    <xdr:from>
      <xdr:col>0</xdr:col>
      <xdr:colOff>0</xdr:colOff>
      <xdr:row>3</xdr:row>
      <xdr:rowOff>38100</xdr:rowOff>
    </xdr:from>
    <xdr:ext cx="2390141" cy="17536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6076950" y="2133600"/>
              <a:ext cx="2390141"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CO" sz="1100" b="0" i="1">
                            <a:latin typeface="Cambria Math" panose="02040503050406030204" pitchFamily="18" charset="0"/>
                          </a:rPr>
                        </m:ctrlPr>
                      </m:sSupPr>
                      <m:e>
                        <m:d>
                          <m:dPr>
                            <m:ctrlPr>
                              <a:rPr lang="es-CO" sz="1100" b="0" i="1">
                                <a:latin typeface="Cambria Math" panose="02040503050406030204" pitchFamily="18" charset="0"/>
                              </a:rPr>
                            </m:ctrlPr>
                          </m:dPr>
                          <m:e>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𝑠</m:t>
                            </m:r>
                          </m:e>
                        </m:d>
                      </m:e>
                      <m:sup>
                        <m:r>
                          <a:rPr lang="es-CO" sz="1100" b="0" i="1">
                            <a:latin typeface="Cambria Math" panose="02040503050406030204" pitchFamily="18" charset="0"/>
                          </a:rPr>
                          <m:t>2</m:t>
                        </m:r>
                      </m:sup>
                    </m:sSup>
                    <m:r>
                      <a:rPr lang="es-CO" sz="1100" b="0" i="1">
                        <a:latin typeface="Cambria Math" panose="02040503050406030204" pitchFamily="18" charset="0"/>
                      </a:rPr>
                      <m:t>=</m:t>
                    </m:r>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𝑠</m:t>
                    </m:r>
                    <m:r>
                      <a:rPr lang="es-CO" sz="1100" b="0" i="1">
                        <a:latin typeface="Cambria Math" panose="02040503050406030204" pitchFamily="18" charset="0"/>
                      </a:rPr>
                      <m:t>∗</m:t>
                    </m:r>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𝑠</m:t>
                    </m:r>
                    <m:r>
                      <a:rPr lang="es-CO" sz="1100" b="0" i="1">
                        <a:latin typeface="Cambria Math" panose="02040503050406030204" pitchFamily="18" charset="0"/>
                      </a:rPr>
                      <m:t>∗</m:t>
                    </m:r>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𝑠</m:t>
                    </m:r>
                    <m:r>
                      <a:rPr lang="es-CO" sz="1100" b="0" i="1">
                        <a:latin typeface="Cambria Math" panose="02040503050406030204" pitchFamily="18" charset="0"/>
                      </a:rPr>
                      <m:t>∗−</m:t>
                    </m:r>
                    <m:r>
                      <a:rPr lang="es-CO" sz="1100" b="0" i="1">
                        <a:latin typeface="Cambria Math" panose="02040503050406030204" pitchFamily="18" charset="0"/>
                      </a:rPr>
                      <m:t>𝑠</m:t>
                    </m:r>
                  </m:oMath>
                </m:oMathPara>
              </a14:m>
              <a:endParaRPr lang="es-CO" sz="1100"/>
            </a:p>
          </xdr:txBody>
        </xdr:sp>
      </mc:Choice>
      <mc:Fallback xmlns="">
        <xdr:sp macro="" textlink="">
          <xdr:nvSpPr>
            <xdr:cNvPr id="4" name="CuadroTexto 3">
              <a:extLst>
                <a:ext uri="{FF2B5EF4-FFF2-40B4-BE49-F238E27FC236}">
                  <a16:creationId xmlns:a16="http://schemas.microsoft.com/office/drawing/2014/main" id="{102AC7A8-F8E2-4420-B6A5-3189D13940F2}"/>
                </a:ext>
              </a:extLst>
            </xdr:cNvPr>
            <xdr:cNvSpPr txBox="1"/>
          </xdr:nvSpPr>
          <xdr:spPr>
            <a:xfrm>
              <a:off x="6076950" y="2133600"/>
              <a:ext cx="2390141"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Cambria Math" panose="02040503050406030204" pitchFamily="18" charset="0"/>
                </a:rPr>
                <a:t>(𝑟−𝑠)^2=𝑟∗𝑟−𝑠∗𝑟−𝑠∗𝑟−𝑠∗−𝑠</a:t>
              </a:r>
              <a:endParaRPr lang="es-CO" sz="1100"/>
            </a:p>
          </xdr:txBody>
        </xdr:sp>
      </mc:Fallback>
    </mc:AlternateContent>
    <xdr:clientData/>
  </xdr:oneCellAnchor>
  <xdr:oneCellAnchor>
    <xdr:from>
      <xdr:col>0</xdr:col>
      <xdr:colOff>9525</xdr:colOff>
      <xdr:row>4</xdr:row>
      <xdr:rowOff>19050</xdr:rowOff>
    </xdr:from>
    <xdr:ext cx="1935594" cy="179665"/>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300-000005000000}"/>
                </a:ext>
              </a:extLst>
            </xdr:cNvPr>
            <xdr:cNvSpPr txBox="1"/>
          </xdr:nvSpPr>
          <xdr:spPr>
            <a:xfrm>
              <a:off x="6105525" y="2305050"/>
              <a:ext cx="1935594" cy="17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es-CO" sz="1100" b="0" i="1">
                          <a:solidFill>
                            <a:schemeClr val="tx1"/>
                          </a:solidFill>
                          <a:effectLst/>
                          <a:latin typeface="Cambria Math" panose="02040503050406030204" pitchFamily="18" charset="0"/>
                          <a:ea typeface="+mn-ea"/>
                          <a:cs typeface="+mn-cs"/>
                        </a:rPr>
                      </m:ctrlPr>
                    </m:sSupPr>
                    <m:e>
                      <m:d>
                        <m:dPr>
                          <m:ctrlPr>
                            <a:rPr lang="es-CO" sz="1100" b="0" i="1">
                              <a:solidFill>
                                <a:schemeClr val="tx1"/>
                              </a:solidFill>
                              <a:effectLst/>
                              <a:latin typeface="Cambria Math" panose="02040503050406030204" pitchFamily="18" charset="0"/>
                              <a:ea typeface="+mn-ea"/>
                              <a:cs typeface="+mn-cs"/>
                            </a:rPr>
                          </m:ctrlPr>
                        </m:dPr>
                        <m:e>
                          <m:r>
                            <a:rPr lang="es-CO" sz="1100" b="0" i="1">
                              <a:solidFill>
                                <a:schemeClr val="tx1"/>
                              </a:solidFill>
                              <a:effectLst/>
                              <a:latin typeface="Cambria Math" panose="02040503050406030204" pitchFamily="18" charset="0"/>
                              <a:ea typeface="+mn-ea"/>
                              <a:cs typeface="+mn-cs"/>
                            </a:rPr>
                            <m:t>𝑟</m:t>
                          </m:r>
                          <m:r>
                            <a:rPr lang="es-CO" sz="1100" b="0" i="1">
                              <a:solidFill>
                                <a:schemeClr val="tx1"/>
                              </a:solidFill>
                              <a:effectLst/>
                              <a:latin typeface="Cambria Math" panose="02040503050406030204" pitchFamily="18" charset="0"/>
                              <a:ea typeface="+mn-ea"/>
                              <a:cs typeface="+mn-cs"/>
                            </a:rPr>
                            <m:t>−</m:t>
                          </m:r>
                          <m:r>
                            <a:rPr lang="es-CO" sz="1100" b="0" i="1">
                              <a:solidFill>
                                <a:schemeClr val="tx1"/>
                              </a:solidFill>
                              <a:effectLst/>
                              <a:latin typeface="Cambria Math" panose="02040503050406030204" pitchFamily="18" charset="0"/>
                              <a:ea typeface="+mn-ea"/>
                              <a:cs typeface="+mn-cs"/>
                            </a:rPr>
                            <m:t>𝑠</m:t>
                          </m:r>
                        </m:e>
                      </m:d>
                    </m:e>
                    <m:sup>
                      <m:r>
                        <a:rPr lang="es-CO" sz="1100" b="0" i="1">
                          <a:solidFill>
                            <a:schemeClr val="tx1"/>
                          </a:solidFill>
                          <a:effectLst/>
                          <a:latin typeface="Cambria Math" panose="02040503050406030204" pitchFamily="18" charset="0"/>
                          <a:ea typeface="+mn-ea"/>
                          <a:cs typeface="+mn-cs"/>
                        </a:rPr>
                        <m:t>2</m:t>
                      </m:r>
                    </m:sup>
                  </m:sSup>
                  <m:r>
                    <a:rPr lang="es-CO" sz="1100" b="0" i="1">
                      <a:latin typeface="Cambria Math" panose="02040503050406030204" pitchFamily="18" charset="0"/>
                    </a:rPr>
                    <m:t>=</m:t>
                  </m:r>
                  <m:d>
                    <m:dPr>
                      <m:begChr m:val="|"/>
                      <m:endChr m:val="|"/>
                      <m:ctrlPr>
                        <a:rPr lang="es-CO" sz="1100" b="0" i="1">
                          <a:latin typeface="Cambria Math" panose="02040503050406030204" pitchFamily="18" charset="0"/>
                        </a:rPr>
                      </m:ctrlPr>
                    </m:dPr>
                    <m:e>
                      <m:r>
                        <a:rPr lang="es-CO" sz="1100" b="0" i="1">
                          <a:latin typeface="Cambria Math" panose="02040503050406030204" pitchFamily="18" charset="0"/>
                        </a:rPr>
                        <m:t>𝑟</m:t>
                      </m:r>
                    </m:e>
                  </m:d>
                  <m:r>
                    <a:rPr lang="es-CO" sz="1100" b="0" i="1">
                      <a:latin typeface="Cambria Math" panose="02040503050406030204" pitchFamily="18" charset="0"/>
                    </a:rPr>
                    <m:t>^2+</m:t>
                  </m:r>
                  <m:d>
                    <m:dPr>
                      <m:begChr m:val="|"/>
                      <m:endChr m:val="|"/>
                      <m:ctrlPr>
                        <a:rPr lang="es-CO" sz="1100" b="0" i="1">
                          <a:latin typeface="Cambria Math" panose="02040503050406030204" pitchFamily="18" charset="0"/>
                        </a:rPr>
                      </m:ctrlPr>
                    </m:dPr>
                    <m:e>
                      <m:r>
                        <a:rPr lang="es-CO" sz="1100" b="0" i="1">
                          <a:latin typeface="Cambria Math" panose="02040503050406030204" pitchFamily="18" charset="0"/>
                        </a:rPr>
                        <m:t>𝑠</m:t>
                      </m:r>
                    </m:e>
                  </m:d>
                  <m:r>
                    <a:rPr lang="es-CO" sz="1100" b="0" i="1">
                      <a:latin typeface="Cambria Math" panose="02040503050406030204" pitchFamily="18" charset="0"/>
                    </a:rPr>
                    <m:t>^2−</m:t>
                  </m:r>
                </m:oMath>
              </a14:m>
              <a:r>
                <a:rPr lang="es-CO" sz="1100"/>
                <a:t>2(r*s)</a:t>
              </a:r>
            </a:p>
          </xdr:txBody>
        </xdr:sp>
      </mc:Choice>
      <mc:Fallback xmlns="">
        <xdr:sp macro="" textlink="">
          <xdr:nvSpPr>
            <xdr:cNvPr id="5" name="CuadroTexto 4">
              <a:extLst>
                <a:ext uri="{FF2B5EF4-FFF2-40B4-BE49-F238E27FC236}">
                  <a16:creationId xmlns:a16="http://schemas.microsoft.com/office/drawing/2014/main" id="{305370F7-520F-4D0D-BD3D-39C66E331C29}"/>
                </a:ext>
              </a:extLst>
            </xdr:cNvPr>
            <xdr:cNvSpPr txBox="1"/>
          </xdr:nvSpPr>
          <xdr:spPr>
            <a:xfrm>
              <a:off x="6105525" y="2305050"/>
              <a:ext cx="1935594" cy="17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solidFill>
                    <a:schemeClr val="tx1"/>
                  </a:solidFill>
                  <a:effectLst/>
                  <a:latin typeface="+mn-lt"/>
                  <a:ea typeface="+mn-ea"/>
                  <a:cs typeface="+mn-cs"/>
                </a:rPr>
                <a:t>(𝑟−𝑠)^2</a:t>
              </a:r>
              <a:r>
                <a:rPr lang="es-CO" sz="1100" b="0" i="0">
                  <a:latin typeface="Cambria Math" panose="02040503050406030204" pitchFamily="18" charset="0"/>
                </a:rPr>
                <a:t>=|𝑟|^2+|𝑠|^2−</a:t>
              </a:r>
              <a:r>
                <a:rPr lang="es-CO" sz="1100"/>
                <a:t>2(r*s)</a:t>
              </a:r>
            </a:p>
          </xdr:txBody>
        </xdr:sp>
      </mc:Fallback>
    </mc:AlternateContent>
    <xdr:clientData/>
  </xdr:oneCellAnchor>
  <xdr:oneCellAnchor>
    <xdr:from>
      <xdr:col>0</xdr:col>
      <xdr:colOff>38100</xdr:colOff>
      <xdr:row>5</xdr:row>
      <xdr:rowOff>19050</xdr:rowOff>
    </xdr:from>
    <xdr:ext cx="3248133" cy="172227"/>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6134100" y="2495550"/>
              <a:ext cx="324813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d>
                    <m:dPr>
                      <m:begChr m:val="|"/>
                      <m:endChr m:val="|"/>
                      <m:ctrlPr>
                        <a:rPr lang="es-CO" sz="1100" b="0" i="1">
                          <a:solidFill>
                            <a:schemeClr val="tx1"/>
                          </a:solidFill>
                          <a:effectLst/>
                          <a:latin typeface="Cambria Math" panose="02040503050406030204" pitchFamily="18" charset="0"/>
                          <a:ea typeface="+mn-ea"/>
                          <a:cs typeface="+mn-cs"/>
                        </a:rPr>
                      </m:ctrlPr>
                    </m:dPr>
                    <m:e>
                      <m:r>
                        <a:rPr lang="es-CO" sz="1100" b="0" i="1">
                          <a:solidFill>
                            <a:schemeClr val="tx1"/>
                          </a:solidFill>
                          <a:effectLst/>
                          <a:latin typeface="Cambria Math" panose="02040503050406030204" pitchFamily="18" charset="0"/>
                          <a:ea typeface="+mn-ea"/>
                          <a:cs typeface="+mn-cs"/>
                        </a:rPr>
                        <m:t>𝑟</m:t>
                      </m:r>
                    </m:e>
                  </m:d>
                  <m:r>
                    <a:rPr lang="es-CO" sz="1100" b="0" i="1">
                      <a:solidFill>
                        <a:schemeClr val="tx1"/>
                      </a:solidFill>
                      <a:effectLst/>
                      <a:latin typeface="Cambria Math" panose="02040503050406030204" pitchFamily="18" charset="0"/>
                      <a:ea typeface="+mn-ea"/>
                      <a:cs typeface="+mn-cs"/>
                    </a:rPr>
                    <m:t>^2+</m:t>
                  </m:r>
                  <m:d>
                    <m:dPr>
                      <m:begChr m:val="|"/>
                      <m:endChr m:val="|"/>
                      <m:ctrlPr>
                        <a:rPr lang="es-CO" sz="1100" b="0" i="1">
                          <a:solidFill>
                            <a:schemeClr val="tx1"/>
                          </a:solidFill>
                          <a:effectLst/>
                          <a:latin typeface="Cambria Math" panose="02040503050406030204" pitchFamily="18" charset="0"/>
                          <a:ea typeface="+mn-ea"/>
                          <a:cs typeface="+mn-cs"/>
                        </a:rPr>
                      </m:ctrlPr>
                    </m:dPr>
                    <m:e>
                      <m:r>
                        <a:rPr lang="es-CO" sz="1100" b="0" i="1">
                          <a:solidFill>
                            <a:schemeClr val="tx1"/>
                          </a:solidFill>
                          <a:effectLst/>
                          <a:latin typeface="Cambria Math" panose="02040503050406030204" pitchFamily="18" charset="0"/>
                          <a:ea typeface="+mn-ea"/>
                          <a:cs typeface="+mn-cs"/>
                        </a:rPr>
                        <m:t>𝑠</m:t>
                      </m:r>
                    </m:e>
                  </m:d>
                  <m:r>
                    <a:rPr lang="es-CO" sz="1100" b="0" i="1">
                      <a:solidFill>
                        <a:schemeClr val="tx1"/>
                      </a:solidFill>
                      <a:effectLst/>
                      <a:latin typeface="Cambria Math" panose="02040503050406030204" pitchFamily="18" charset="0"/>
                      <a:ea typeface="+mn-ea"/>
                      <a:cs typeface="+mn-cs"/>
                    </a:rPr>
                    <m:t>^2−</m:t>
                  </m:r>
                  <m:r>
                    <m:rPr>
                      <m:nor/>
                    </m:rPr>
                    <a:rPr lang="es-CO" sz="1100">
                      <a:solidFill>
                        <a:schemeClr val="tx1"/>
                      </a:solidFill>
                      <a:effectLst/>
                      <a:latin typeface="+mn-lt"/>
                      <a:ea typeface="+mn-ea"/>
                      <a:cs typeface="+mn-cs"/>
                    </a:rPr>
                    <m:t>2(</m:t>
                  </m:r>
                  <m:r>
                    <m:rPr>
                      <m:nor/>
                    </m:rPr>
                    <a:rPr lang="es-CO" sz="1100">
                      <a:solidFill>
                        <a:schemeClr val="tx1"/>
                      </a:solidFill>
                      <a:effectLst/>
                      <a:latin typeface="+mn-lt"/>
                      <a:ea typeface="+mn-ea"/>
                      <a:cs typeface="+mn-cs"/>
                    </a:rPr>
                    <m:t>r</m:t>
                  </m:r>
                  <m:r>
                    <m:rPr>
                      <m:nor/>
                    </m:rPr>
                    <a:rPr lang="es-CO" sz="1100">
                      <a:solidFill>
                        <a:schemeClr val="tx1"/>
                      </a:solidFill>
                      <a:effectLst/>
                      <a:latin typeface="+mn-lt"/>
                      <a:ea typeface="+mn-ea"/>
                      <a:cs typeface="+mn-cs"/>
                    </a:rPr>
                    <m:t>∗</m:t>
                  </m:r>
                  <m:r>
                    <m:rPr>
                      <m:nor/>
                    </m:rPr>
                    <a:rPr lang="es-CO" sz="1100">
                      <a:solidFill>
                        <a:schemeClr val="tx1"/>
                      </a:solidFill>
                      <a:effectLst/>
                      <a:latin typeface="+mn-lt"/>
                      <a:ea typeface="+mn-ea"/>
                      <a:cs typeface="+mn-cs"/>
                    </a:rPr>
                    <m:t>s</m:t>
                  </m:r>
                  <m:r>
                    <m:rPr>
                      <m:nor/>
                    </m:rPr>
                    <a:rPr lang="es-CO" sz="1100">
                      <a:solidFill>
                        <a:schemeClr val="tx1"/>
                      </a:solidFill>
                      <a:effectLst/>
                      <a:latin typeface="+mn-lt"/>
                      <a:ea typeface="+mn-ea"/>
                      <a:cs typeface="+mn-cs"/>
                    </a:rPr>
                    <m:t>)</m:t>
                  </m:r>
                  <m:r>
                    <a:rPr lang="es-CO" sz="1100" b="0" i="1">
                      <a:latin typeface="Cambria Math" panose="02040503050406030204" pitchFamily="18" charset="0"/>
                    </a:rPr>
                    <m:t>=</m:t>
                  </m:r>
                  <m:d>
                    <m:dPr>
                      <m:begChr m:val="|"/>
                      <m:endChr m:val="|"/>
                      <m:ctrlPr>
                        <a:rPr lang="es-CO" sz="1100" b="0" i="1">
                          <a:solidFill>
                            <a:schemeClr val="tx1"/>
                          </a:solidFill>
                          <a:effectLst/>
                          <a:latin typeface="Cambria Math" panose="02040503050406030204" pitchFamily="18" charset="0"/>
                          <a:ea typeface="+mn-ea"/>
                          <a:cs typeface="+mn-cs"/>
                        </a:rPr>
                      </m:ctrlPr>
                    </m:dPr>
                    <m:e>
                      <m:r>
                        <a:rPr lang="es-CO" sz="1100" b="0" i="1">
                          <a:solidFill>
                            <a:schemeClr val="tx1"/>
                          </a:solidFill>
                          <a:effectLst/>
                          <a:latin typeface="Cambria Math" panose="02040503050406030204" pitchFamily="18" charset="0"/>
                          <a:ea typeface="+mn-ea"/>
                          <a:cs typeface="+mn-cs"/>
                        </a:rPr>
                        <m:t>𝑟</m:t>
                      </m:r>
                    </m:e>
                  </m:d>
                  <m:r>
                    <a:rPr lang="es-CO" sz="1100" b="0" i="1">
                      <a:solidFill>
                        <a:schemeClr val="tx1"/>
                      </a:solidFill>
                      <a:effectLst/>
                      <a:latin typeface="Cambria Math" panose="02040503050406030204" pitchFamily="18" charset="0"/>
                      <a:ea typeface="+mn-ea"/>
                      <a:cs typeface="+mn-cs"/>
                    </a:rPr>
                    <m:t>^2+</m:t>
                  </m:r>
                  <m:d>
                    <m:dPr>
                      <m:begChr m:val="|"/>
                      <m:endChr m:val="|"/>
                      <m:ctrlPr>
                        <a:rPr lang="es-CO" sz="1100" b="0" i="1">
                          <a:solidFill>
                            <a:schemeClr val="tx1"/>
                          </a:solidFill>
                          <a:effectLst/>
                          <a:latin typeface="Cambria Math" panose="02040503050406030204" pitchFamily="18" charset="0"/>
                          <a:ea typeface="+mn-ea"/>
                          <a:cs typeface="+mn-cs"/>
                        </a:rPr>
                      </m:ctrlPr>
                    </m:dPr>
                    <m:e>
                      <m:r>
                        <a:rPr lang="es-CO" sz="1100" b="0" i="1">
                          <a:solidFill>
                            <a:schemeClr val="tx1"/>
                          </a:solidFill>
                          <a:effectLst/>
                          <a:latin typeface="Cambria Math" panose="02040503050406030204" pitchFamily="18" charset="0"/>
                          <a:ea typeface="+mn-ea"/>
                          <a:cs typeface="+mn-cs"/>
                        </a:rPr>
                        <m:t>𝑠</m:t>
                      </m:r>
                    </m:e>
                  </m:d>
                  <m:r>
                    <a:rPr lang="es-CO" sz="1100" b="0" i="1">
                      <a:solidFill>
                        <a:schemeClr val="tx1"/>
                      </a:solidFill>
                      <a:effectLst/>
                      <a:latin typeface="Cambria Math" panose="02040503050406030204" pitchFamily="18" charset="0"/>
                      <a:ea typeface="+mn-ea"/>
                      <a:cs typeface="+mn-cs"/>
                    </a:rPr>
                    <m:t>^2−</m:t>
                  </m:r>
                  <m:r>
                    <m:rPr>
                      <m:nor/>
                    </m:rPr>
                    <a:rPr lang="es-CO" sz="1100">
                      <a:solidFill>
                        <a:schemeClr val="tx1"/>
                      </a:solidFill>
                      <a:effectLst/>
                      <a:latin typeface="+mn-lt"/>
                      <a:ea typeface="+mn-ea"/>
                      <a:cs typeface="+mn-cs"/>
                    </a:rPr>
                    <m:t>2(</m:t>
                  </m:r>
                  <m:r>
                    <m:rPr>
                      <m:nor/>
                    </m:rPr>
                    <a:rPr lang="es-CO" sz="1100">
                      <a:solidFill>
                        <a:schemeClr val="tx1"/>
                      </a:solidFill>
                      <a:effectLst/>
                      <a:latin typeface="+mn-lt"/>
                      <a:ea typeface="+mn-ea"/>
                      <a:cs typeface="+mn-cs"/>
                    </a:rPr>
                    <m:t>r</m:t>
                  </m:r>
                  <m:r>
                    <m:rPr>
                      <m:nor/>
                    </m:rPr>
                    <a:rPr lang="es-CO" sz="1100">
                      <a:solidFill>
                        <a:schemeClr val="tx1"/>
                      </a:solidFill>
                      <a:effectLst/>
                      <a:latin typeface="+mn-lt"/>
                      <a:ea typeface="+mn-ea"/>
                      <a:cs typeface="+mn-cs"/>
                    </a:rPr>
                    <m:t>∗</m:t>
                  </m:r>
                  <m:r>
                    <m:rPr>
                      <m:nor/>
                    </m:rPr>
                    <a:rPr lang="es-CO" sz="1100">
                      <a:solidFill>
                        <a:schemeClr val="tx1"/>
                      </a:solidFill>
                      <a:effectLst/>
                      <a:latin typeface="+mn-lt"/>
                      <a:ea typeface="+mn-ea"/>
                      <a:cs typeface="+mn-cs"/>
                    </a:rPr>
                    <m:t>s</m:t>
                  </m:r>
                  <m:r>
                    <m:rPr>
                      <m:nor/>
                    </m:rPr>
                    <a:rPr lang="es-CO" sz="1100">
                      <a:solidFill>
                        <a:schemeClr val="tx1"/>
                      </a:solidFill>
                      <a:effectLst/>
                      <a:latin typeface="+mn-lt"/>
                      <a:ea typeface="+mn-ea"/>
                      <a:cs typeface="+mn-cs"/>
                    </a:rPr>
                    <m:t>)</m:t>
                  </m:r>
                  <m:func>
                    <m:funcPr>
                      <m:ctrlPr>
                        <a:rPr lang="es-CO" sz="1100" b="0" i="1">
                          <a:solidFill>
                            <a:schemeClr val="tx1"/>
                          </a:solidFill>
                          <a:effectLst/>
                          <a:latin typeface="Cambria Math" panose="02040503050406030204" pitchFamily="18" charset="0"/>
                          <a:ea typeface="+mn-ea"/>
                          <a:cs typeface="+mn-cs"/>
                        </a:rPr>
                      </m:ctrlPr>
                    </m:funcPr>
                    <m:fName>
                      <m:r>
                        <a:rPr lang="es-CO" sz="1100" b="0" i="1">
                          <a:solidFill>
                            <a:schemeClr val="tx1"/>
                          </a:solidFill>
                          <a:effectLst/>
                          <a:latin typeface="Cambria Math" panose="02040503050406030204" pitchFamily="18" charset="0"/>
                          <a:ea typeface="+mn-ea"/>
                          <a:cs typeface="+mn-cs"/>
                        </a:rPr>
                        <m:t>∗</m:t>
                      </m:r>
                      <m:r>
                        <m:rPr>
                          <m:sty m:val="p"/>
                        </m:rPr>
                        <a:rPr lang="es-CO" sz="1100" b="0" i="1">
                          <a:solidFill>
                            <a:schemeClr val="tx1"/>
                          </a:solidFill>
                          <a:effectLst/>
                          <a:latin typeface="Cambria Math" panose="02040503050406030204" pitchFamily="18" charset="0"/>
                          <a:ea typeface="+mn-ea"/>
                          <a:cs typeface="+mn-cs"/>
                        </a:rPr>
                        <m:t>cos</m:t>
                      </m:r>
                    </m:fName>
                    <m:e>
                      <m:r>
                        <a:rPr lang="es-CO" sz="1100" b="0" i="1">
                          <a:solidFill>
                            <a:schemeClr val="tx1"/>
                          </a:solidFill>
                          <a:effectLst/>
                          <a:latin typeface="Cambria Math" panose="02040503050406030204" pitchFamily="18" charset="0"/>
                          <a:ea typeface="+mn-ea"/>
                          <a:cs typeface="+mn-cs"/>
                        </a:rPr>
                        <m:t>𝜃</m:t>
                      </m:r>
                    </m:e>
                  </m:func>
                </m:oMath>
              </a14:m>
              <a:r>
                <a:rPr lang="es-CO" sz="1100"/>
                <a:t>)</a:t>
              </a:r>
            </a:p>
          </xdr:txBody>
        </xdr:sp>
      </mc:Choice>
      <mc:Fallback xmlns="">
        <xdr:sp macro="" textlink="">
          <xdr:nvSpPr>
            <xdr:cNvPr id="6" name="CuadroTexto 5">
              <a:extLst>
                <a:ext uri="{FF2B5EF4-FFF2-40B4-BE49-F238E27FC236}">
                  <a16:creationId xmlns:a16="http://schemas.microsoft.com/office/drawing/2014/main" id="{31442B84-339F-47D5-ABA7-F07526E67A0D}"/>
                </a:ext>
              </a:extLst>
            </xdr:cNvPr>
            <xdr:cNvSpPr txBox="1"/>
          </xdr:nvSpPr>
          <xdr:spPr>
            <a:xfrm>
              <a:off x="6134100" y="2495550"/>
              <a:ext cx="324813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solidFill>
                    <a:schemeClr val="tx1"/>
                  </a:solidFill>
                  <a:effectLst/>
                  <a:latin typeface="+mn-lt"/>
                  <a:ea typeface="+mn-ea"/>
                  <a:cs typeface="+mn-cs"/>
                </a:rPr>
                <a:t>|𝑟|^2+|𝑠|^2−</a:t>
              </a:r>
              <a:r>
                <a:rPr lang="es-CO" sz="1100" b="0" i="0">
                  <a:solidFill>
                    <a:schemeClr val="tx1"/>
                  </a:solidFill>
                  <a:effectLst/>
                  <a:latin typeface="Cambria Math" panose="02040503050406030204" pitchFamily="18" charset="0"/>
                  <a:ea typeface="+mn-ea"/>
                  <a:cs typeface="+mn-cs"/>
                </a:rPr>
                <a:t>"</a:t>
              </a:r>
              <a:r>
                <a:rPr lang="es-CO" sz="1100" i="0">
                  <a:solidFill>
                    <a:schemeClr val="tx1"/>
                  </a:solidFill>
                  <a:effectLst/>
                  <a:latin typeface="Cambria Math" panose="02040503050406030204" pitchFamily="18" charset="0"/>
                  <a:ea typeface="+mn-ea"/>
                  <a:cs typeface="+mn-cs"/>
                </a:rPr>
                <a:t>2(r*s)</a:t>
              </a:r>
              <a:r>
                <a:rPr lang="es-CO" sz="1100" b="0" i="0">
                  <a:solidFill>
                    <a:schemeClr val="tx1"/>
                  </a:solidFill>
                  <a:effectLst/>
                  <a:latin typeface="Cambria Math" panose="02040503050406030204" pitchFamily="18" charset="0"/>
                  <a:ea typeface="+mn-ea"/>
                  <a:cs typeface="+mn-cs"/>
                </a:rPr>
                <a:t>"</a:t>
              </a:r>
              <a:r>
                <a:rPr lang="es-CO" sz="1100" b="0" i="0">
                  <a:latin typeface="Cambria Math" panose="02040503050406030204" pitchFamily="18" charset="0"/>
                </a:rPr>
                <a:t>=</a:t>
              </a:r>
              <a:r>
                <a:rPr lang="es-CO" sz="1100" b="0" i="0">
                  <a:solidFill>
                    <a:schemeClr val="tx1"/>
                  </a:solidFill>
                  <a:effectLst/>
                  <a:latin typeface="+mn-lt"/>
                  <a:ea typeface="+mn-ea"/>
                  <a:cs typeface="+mn-cs"/>
                </a:rPr>
                <a:t>|𝑟|^2+|𝑠|^2−</a:t>
              </a:r>
              <a:r>
                <a:rPr lang="es-CO" sz="1100" b="0" i="0">
                  <a:solidFill>
                    <a:schemeClr val="tx1"/>
                  </a:solidFill>
                  <a:effectLst/>
                  <a:latin typeface="Cambria Math" panose="02040503050406030204" pitchFamily="18" charset="0"/>
                  <a:ea typeface="+mn-ea"/>
                  <a:cs typeface="+mn-cs"/>
                </a:rPr>
                <a:t>"</a:t>
              </a:r>
              <a:r>
                <a:rPr lang="es-CO" sz="1100" i="0">
                  <a:solidFill>
                    <a:schemeClr val="tx1"/>
                  </a:solidFill>
                  <a:effectLst/>
                  <a:latin typeface="Cambria Math" panose="02040503050406030204" pitchFamily="18" charset="0"/>
                  <a:ea typeface="+mn-ea"/>
                  <a:cs typeface="+mn-cs"/>
                </a:rPr>
                <a:t>2(r*s)</a:t>
              </a:r>
              <a:r>
                <a:rPr lang="es-CO" sz="1100" b="0" i="0">
                  <a:solidFill>
                    <a:schemeClr val="tx1"/>
                  </a:solidFill>
                  <a:effectLst/>
                  <a:latin typeface="+mn-lt"/>
                  <a:ea typeface="+mn-ea"/>
                  <a:cs typeface="+mn-cs"/>
                </a:rPr>
                <a:t>"  〖∗cos〗⁡𝜃</a:t>
              </a:r>
              <a:r>
                <a:rPr lang="es-CO" sz="1100"/>
                <a:t>)</a:t>
              </a:r>
            </a:p>
          </xdr:txBody>
        </xdr:sp>
      </mc:Fallback>
    </mc:AlternateContent>
    <xdr:clientData/>
  </xdr:oneCellAnchor>
  <xdr:oneCellAnchor>
    <xdr:from>
      <xdr:col>0</xdr:col>
      <xdr:colOff>57150</xdr:colOff>
      <xdr:row>6</xdr:row>
      <xdr:rowOff>38100</xdr:rowOff>
    </xdr:from>
    <xdr:ext cx="1106329" cy="172227"/>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6153150" y="2705100"/>
              <a:ext cx="110632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a:t>r*s</a:t>
              </a:r>
              <a14:m>
                <m:oMath xmlns:m="http://schemas.openxmlformats.org/officeDocument/2006/math">
                  <m:r>
                    <a:rPr lang="es-CO" sz="1100" b="0" i="1">
                      <a:latin typeface="Cambria Math" panose="02040503050406030204" pitchFamily="18" charset="0"/>
                    </a:rPr>
                    <m:t>=</m:t>
                  </m:r>
                  <m:d>
                    <m:dPr>
                      <m:begChr m:val="|"/>
                      <m:endChr m:val="|"/>
                      <m:ctrlPr>
                        <a:rPr lang="es-CO" sz="1100" b="0" i="1">
                          <a:solidFill>
                            <a:schemeClr val="tx1"/>
                          </a:solidFill>
                          <a:effectLst/>
                          <a:latin typeface="Cambria Math" panose="02040503050406030204" pitchFamily="18" charset="0"/>
                          <a:ea typeface="+mn-ea"/>
                          <a:cs typeface="+mn-cs"/>
                        </a:rPr>
                      </m:ctrlPr>
                    </m:dPr>
                    <m:e>
                      <m:r>
                        <a:rPr lang="es-CO" sz="1100" b="0" i="1">
                          <a:solidFill>
                            <a:schemeClr val="tx1"/>
                          </a:solidFill>
                          <a:effectLst/>
                          <a:latin typeface="Cambria Math" panose="02040503050406030204" pitchFamily="18" charset="0"/>
                          <a:ea typeface="+mn-ea"/>
                          <a:cs typeface="+mn-cs"/>
                        </a:rPr>
                        <m:t>𝑟</m:t>
                      </m:r>
                    </m:e>
                  </m:d>
                  <m:r>
                    <a:rPr lang="es-CO" sz="1100" b="0" i="1">
                      <a:solidFill>
                        <a:schemeClr val="tx1"/>
                      </a:solidFill>
                      <a:effectLst/>
                      <a:latin typeface="Cambria Math" panose="02040503050406030204" pitchFamily="18" charset="0"/>
                      <a:ea typeface="+mn-ea"/>
                      <a:cs typeface="+mn-cs"/>
                    </a:rPr>
                    <m:t>|</m:t>
                  </m:r>
                  <m:r>
                    <a:rPr lang="es-CO" sz="1100" b="0" i="1">
                      <a:solidFill>
                        <a:schemeClr val="tx1"/>
                      </a:solidFill>
                      <a:effectLst/>
                      <a:latin typeface="Cambria Math" panose="02040503050406030204" pitchFamily="18" charset="0"/>
                      <a:ea typeface="+mn-ea"/>
                      <a:cs typeface="+mn-cs"/>
                    </a:rPr>
                    <m:t>𝑠</m:t>
                  </m:r>
                  <m:r>
                    <a:rPr lang="es-CO" sz="1100" b="0" i="1">
                      <a:solidFill>
                        <a:schemeClr val="tx1"/>
                      </a:solidFill>
                      <a:effectLst/>
                      <a:latin typeface="Cambria Math" panose="02040503050406030204" pitchFamily="18" charset="0"/>
                      <a:ea typeface="+mn-ea"/>
                      <a:cs typeface="+mn-cs"/>
                    </a:rPr>
                    <m:t>|</m:t>
                  </m:r>
                  <m:func>
                    <m:funcPr>
                      <m:ctrlPr>
                        <a:rPr lang="es-CO" sz="1100" b="0" i="1">
                          <a:solidFill>
                            <a:schemeClr val="tx1"/>
                          </a:solidFill>
                          <a:effectLst/>
                          <a:latin typeface="Cambria Math" panose="02040503050406030204" pitchFamily="18" charset="0"/>
                          <a:ea typeface="+mn-ea"/>
                          <a:cs typeface="+mn-cs"/>
                        </a:rPr>
                      </m:ctrlPr>
                    </m:funcPr>
                    <m:fName>
                      <m:r>
                        <a:rPr lang="es-CO" sz="1100" b="0" i="1">
                          <a:solidFill>
                            <a:schemeClr val="tx1"/>
                          </a:solidFill>
                          <a:effectLst/>
                          <a:latin typeface="Cambria Math" panose="02040503050406030204" pitchFamily="18" charset="0"/>
                          <a:ea typeface="+mn-ea"/>
                          <a:cs typeface="+mn-cs"/>
                        </a:rPr>
                        <m:t>∗</m:t>
                      </m:r>
                      <m:r>
                        <m:rPr>
                          <m:sty m:val="p"/>
                        </m:rPr>
                        <a:rPr lang="es-CO" sz="1100" b="0" i="1">
                          <a:solidFill>
                            <a:schemeClr val="tx1"/>
                          </a:solidFill>
                          <a:effectLst/>
                          <a:latin typeface="Cambria Math" panose="02040503050406030204" pitchFamily="18" charset="0"/>
                          <a:ea typeface="+mn-ea"/>
                          <a:cs typeface="+mn-cs"/>
                        </a:rPr>
                        <m:t>cos</m:t>
                      </m:r>
                    </m:fName>
                    <m:e>
                      <m:r>
                        <a:rPr lang="es-CO" sz="1100" b="0" i="1">
                          <a:solidFill>
                            <a:schemeClr val="tx1"/>
                          </a:solidFill>
                          <a:effectLst/>
                          <a:latin typeface="Cambria Math" panose="02040503050406030204" pitchFamily="18" charset="0"/>
                          <a:ea typeface="+mn-ea"/>
                          <a:cs typeface="+mn-cs"/>
                        </a:rPr>
                        <m:t>𝜃</m:t>
                      </m:r>
                    </m:e>
                  </m:func>
                </m:oMath>
              </a14:m>
              <a:r>
                <a:rPr lang="es-CO" sz="1100"/>
                <a:t>)</a:t>
              </a:r>
            </a:p>
          </xdr:txBody>
        </xdr:sp>
      </mc:Choice>
      <mc:Fallback xmlns="">
        <xdr:sp macro="" textlink="">
          <xdr:nvSpPr>
            <xdr:cNvPr id="7" name="CuadroTexto 6">
              <a:extLst>
                <a:ext uri="{FF2B5EF4-FFF2-40B4-BE49-F238E27FC236}">
                  <a16:creationId xmlns:a16="http://schemas.microsoft.com/office/drawing/2014/main" id="{02490D70-AAD3-472A-8CA6-CB4F85838488}"/>
                </a:ext>
              </a:extLst>
            </xdr:cNvPr>
            <xdr:cNvSpPr txBox="1"/>
          </xdr:nvSpPr>
          <xdr:spPr>
            <a:xfrm>
              <a:off x="6153150" y="2705100"/>
              <a:ext cx="110632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a:t>r*s</a:t>
              </a:r>
              <a:r>
                <a:rPr lang="es-CO" sz="1100" b="0" i="0">
                  <a:latin typeface="Cambria Math" panose="02040503050406030204" pitchFamily="18" charset="0"/>
                </a:rPr>
                <a:t>=</a:t>
              </a:r>
              <a:r>
                <a:rPr lang="es-CO" sz="1100" b="0" i="0">
                  <a:solidFill>
                    <a:schemeClr val="tx1"/>
                  </a:solidFill>
                  <a:effectLst/>
                  <a:latin typeface="+mn-lt"/>
                  <a:ea typeface="+mn-ea"/>
                  <a:cs typeface="+mn-cs"/>
                </a:rPr>
                <a:t>|𝑟|</a:t>
              </a:r>
              <a:r>
                <a:rPr lang="es-CO" sz="1100" b="0" i="0">
                  <a:solidFill>
                    <a:schemeClr val="tx1"/>
                  </a:solidFill>
                  <a:effectLst/>
                  <a:latin typeface="Cambria Math" panose="02040503050406030204" pitchFamily="18" charset="0"/>
                  <a:ea typeface="+mn-ea"/>
                  <a:cs typeface="+mn-cs"/>
                </a:rPr>
                <a:t>|𝑠|</a:t>
              </a:r>
              <a:r>
                <a:rPr lang="es-CO" sz="1100" b="0" i="0">
                  <a:solidFill>
                    <a:schemeClr val="tx1"/>
                  </a:solidFill>
                  <a:effectLst/>
                  <a:latin typeface="+mn-lt"/>
                  <a:ea typeface="+mn-ea"/>
                  <a:cs typeface="+mn-cs"/>
                </a:rPr>
                <a:t>〖∗cos〗⁡𝜃</a:t>
              </a:r>
              <a:r>
                <a:rPr lang="es-CO" sz="1100"/>
                <a:t>)</a:t>
              </a:r>
            </a:p>
          </xdr:txBody>
        </xdr:sp>
      </mc:Fallback>
    </mc:AlternateContent>
    <xdr:clientData/>
  </xdr:oneCellAnchor>
  <xdr:oneCellAnchor>
    <xdr:from>
      <xdr:col>0</xdr:col>
      <xdr:colOff>161925</xdr:colOff>
      <xdr:row>15</xdr:row>
      <xdr:rowOff>152400</xdr:rowOff>
    </xdr:from>
    <xdr:ext cx="1809750" cy="495300"/>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6257925" y="4533900"/>
              <a:ext cx="180975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s-CO" sz="1100" b="0" i="1">
                            <a:latin typeface="Cambria Math" panose="02040503050406030204" pitchFamily="18" charset="0"/>
                          </a:rPr>
                        </m:ctrlPr>
                      </m:fPr>
                      <m:num>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𝑠</m:t>
                        </m:r>
                      </m:num>
                      <m:den>
                        <m:r>
                          <a:rPr lang="es-CO" sz="1100" b="0" i="1">
                            <a:latin typeface="Cambria Math" panose="02040503050406030204" pitchFamily="18" charset="0"/>
                          </a:rPr>
                          <m:t>|</m:t>
                        </m:r>
                        <m:r>
                          <a:rPr lang="es-CO" sz="1100" b="0" i="1">
                            <a:latin typeface="Cambria Math" panose="02040503050406030204" pitchFamily="18" charset="0"/>
                          </a:rPr>
                          <m:t>𝑟</m:t>
                        </m:r>
                        <m:r>
                          <a:rPr lang="es-CO" sz="1100" b="0" i="1">
                            <a:latin typeface="Cambria Math" panose="02040503050406030204" pitchFamily="18" charset="0"/>
                          </a:rPr>
                          <m:t>|</m:t>
                        </m:r>
                      </m:den>
                    </m:f>
                    <m:r>
                      <a:rPr lang="es-CO" sz="1100" b="0" i="1">
                        <a:latin typeface="Cambria Math" panose="02040503050406030204" pitchFamily="18" charset="0"/>
                      </a:rPr>
                      <m:t>=|</m:t>
                    </m:r>
                    <m:r>
                      <a:rPr lang="es-CO" sz="1100" b="0" i="1">
                        <a:solidFill>
                          <a:schemeClr val="tx1"/>
                        </a:solidFill>
                        <a:effectLst/>
                        <a:latin typeface="Cambria Math" panose="02040503050406030204" pitchFamily="18" charset="0"/>
                        <a:ea typeface="+mn-ea"/>
                        <a:cs typeface="+mn-cs"/>
                      </a:rPr>
                      <m:t>𝑠</m:t>
                    </m:r>
                    <m:r>
                      <a:rPr lang="es-CO" sz="1100" b="0" i="1">
                        <a:solidFill>
                          <a:schemeClr val="tx1"/>
                        </a:solidFill>
                        <a:effectLst/>
                        <a:latin typeface="Cambria Math" panose="02040503050406030204" pitchFamily="18" charset="0"/>
                        <a:ea typeface="+mn-ea"/>
                        <a:cs typeface="+mn-cs"/>
                      </a:rPr>
                      <m:t>|</m:t>
                    </m:r>
                    <m:func>
                      <m:funcPr>
                        <m:ctrlPr>
                          <a:rPr lang="es-CO" sz="1100" b="0" i="1">
                            <a:solidFill>
                              <a:schemeClr val="tx1"/>
                            </a:solidFill>
                            <a:effectLst/>
                            <a:latin typeface="Cambria Math" panose="02040503050406030204" pitchFamily="18" charset="0"/>
                            <a:ea typeface="+mn-ea"/>
                            <a:cs typeface="+mn-cs"/>
                          </a:rPr>
                        </m:ctrlPr>
                      </m:funcPr>
                      <m:fName>
                        <m:r>
                          <a:rPr lang="es-CO" sz="1100" b="0" i="1">
                            <a:solidFill>
                              <a:schemeClr val="tx1"/>
                            </a:solidFill>
                            <a:effectLst/>
                            <a:latin typeface="Cambria Math" panose="02040503050406030204" pitchFamily="18" charset="0"/>
                            <a:ea typeface="+mn-ea"/>
                            <a:cs typeface="+mn-cs"/>
                          </a:rPr>
                          <m:t>∗</m:t>
                        </m:r>
                        <m:r>
                          <m:rPr>
                            <m:sty m:val="p"/>
                          </m:rPr>
                          <a:rPr lang="es-CO" sz="1100" b="0" i="1">
                            <a:solidFill>
                              <a:schemeClr val="tx1"/>
                            </a:solidFill>
                            <a:effectLst/>
                            <a:latin typeface="Cambria Math" panose="02040503050406030204" pitchFamily="18" charset="0"/>
                            <a:ea typeface="+mn-ea"/>
                            <a:cs typeface="+mn-cs"/>
                          </a:rPr>
                          <m:t>cos</m:t>
                        </m:r>
                      </m:fName>
                      <m:e>
                        <m:r>
                          <a:rPr lang="es-CO" sz="1100" b="0" i="1">
                            <a:solidFill>
                              <a:schemeClr val="tx1"/>
                            </a:solidFill>
                            <a:effectLst/>
                            <a:latin typeface="Cambria Math" panose="02040503050406030204" pitchFamily="18" charset="0"/>
                            <a:ea typeface="+mn-ea"/>
                            <a:cs typeface="+mn-cs"/>
                          </a:rPr>
                          <m:t>𝜃</m:t>
                        </m:r>
                      </m:e>
                    </m:func>
                  </m:oMath>
                </m:oMathPara>
              </a14:m>
              <a:endParaRPr lang="es-CO" sz="1100"/>
            </a:p>
          </xdr:txBody>
        </xdr:sp>
      </mc:Choice>
      <mc:Fallback xmlns="">
        <xdr:sp macro="" textlink="">
          <xdr:nvSpPr>
            <xdr:cNvPr id="8" name="CuadroTexto 7">
              <a:extLst>
                <a:ext uri="{FF2B5EF4-FFF2-40B4-BE49-F238E27FC236}">
                  <a16:creationId xmlns:a16="http://schemas.microsoft.com/office/drawing/2014/main" id="{07CDE593-5B36-44BD-B82A-0C86761DA2EF}"/>
                </a:ext>
              </a:extLst>
            </xdr:cNvPr>
            <xdr:cNvSpPr txBox="1"/>
          </xdr:nvSpPr>
          <xdr:spPr>
            <a:xfrm>
              <a:off x="6257925" y="4533900"/>
              <a:ext cx="180975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s-CO" sz="1100" b="0" i="0">
                  <a:latin typeface="Cambria Math" panose="02040503050406030204" pitchFamily="18" charset="0"/>
                </a:rPr>
                <a:t>(𝑟∗𝑠)/(|𝑟|)=|</a:t>
              </a:r>
              <a:r>
                <a:rPr lang="es-CO" sz="1100" b="0" i="0">
                  <a:solidFill>
                    <a:schemeClr val="tx1"/>
                  </a:solidFill>
                  <a:effectLst/>
                  <a:latin typeface="Cambria Math" panose="02040503050406030204" pitchFamily="18" charset="0"/>
                  <a:ea typeface="+mn-ea"/>
                  <a:cs typeface="+mn-cs"/>
                </a:rPr>
                <a:t>𝑠|</a:t>
              </a:r>
              <a:r>
                <a:rPr lang="es-CO" sz="1100" b="0" i="0">
                  <a:solidFill>
                    <a:schemeClr val="tx1"/>
                  </a:solidFill>
                  <a:effectLst/>
                  <a:latin typeface="+mn-lt"/>
                  <a:ea typeface="+mn-ea"/>
                  <a:cs typeface="+mn-cs"/>
                </a:rPr>
                <a:t>〖∗cos〗⁡𝜃</a:t>
              </a:r>
              <a:endParaRPr lang="es-CO" sz="1100"/>
            </a:p>
          </xdr:txBody>
        </xdr:sp>
      </mc:Fallback>
    </mc:AlternateContent>
    <xdr:clientData/>
  </xdr:oneCellAnchor>
  <xdr:oneCellAnchor>
    <xdr:from>
      <xdr:col>0</xdr:col>
      <xdr:colOff>0</xdr:colOff>
      <xdr:row>20</xdr:row>
      <xdr:rowOff>0</xdr:rowOff>
    </xdr:from>
    <xdr:ext cx="1809750" cy="495300"/>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300-000009000000}"/>
                </a:ext>
              </a:extLst>
            </xdr:cNvPr>
            <xdr:cNvSpPr txBox="1"/>
          </xdr:nvSpPr>
          <xdr:spPr>
            <a:xfrm>
              <a:off x="6096000" y="5334000"/>
              <a:ext cx="180975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s-CO" sz="1100" b="0" i="1">
                        <a:latin typeface="Cambria Math" panose="02040503050406030204" pitchFamily="18" charset="0"/>
                      </a:rPr>
                      <m:t>𝑟</m:t>
                    </m:r>
                    <m:f>
                      <m:fPr>
                        <m:ctrlPr>
                          <a:rPr lang="es-CO" sz="1100" b="0" i="1">
                            <a:latin typeface="Cambria Math" panose="02040503050406030204" pitchFamily="18" charset="0"/>
                          </a:rPr>
                        </m:ctrlPr>
                      </m:fPr>
                      <m:num>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𝑠</m:t>
                        </m:r>
                      </m:num>
                      <m:den>
                        <m:r>
                          <a:rPr lang="es-CO" sz="1100" b="0" i="1">
                            <a:latin typeface="Cambria Math" panose="02040503050406030204" pitchFamily="18" charset="0"/>
                          </a:rPr>
                          <m:t>|</m:t>
                        </m:r>
                        <m:r>
                          <a:rPr lang="es-CO" sz="1100" b="0" i="1">
                            <a:latin typeface="Cambria Math" panose="02040503050406030204" pitchFamily="18" charset="0"/>
                          </a:rPr>
                          <m:t>𝑟</m:t>
                        </m:r>
                        <m:r>
                          <a:rPr lang="es-CO" sz="1100" b="0" i="1">
                            <a:latin typeface="Cambria Math" panose="02040503050406030204" pitchFamily="18" charset="0"/>
                          </a:rPr>
                          <m:t>|</m:t>
                        </m:r>
                      </m:den>
                    </m:f>
                    <m:r>
                      <a:rPr lang="es-CO" sz="1100" b="0" i="1">
                        <a:latin typeface="Cambria Math" panose="02040503050406030204" pitchFamily="18" charset="0"/>
                      </a:rPr>
                      <m:t>=</m:t>
                    </m:r>
                    <m:r>
                      <a:rPr lang="es-CO" sz="1100" b="0" i="1">
                        <a:latin typeface="Cambria Math" panose="02040503050406030204" pitchFamily="18" charset="0"/>
                      </a:rPr>
                      <m:t>𝑟</m:t>
                    </m:r>
                    <m:f>
                      <m:fPr>
                        <m:ctrlPr>
                          <a:rPr lang="es-CO" sz="1100" b="0" i="1">
                            <a:latin typeface="Cambria Math" panose="02040503050406030204" pitchFamily="18" charset="0"/>
                          </a:rPr>
                        </m:ctrlPr>
                      </m:fPr>
                      <m:num>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𝑠</m:t>
                        </m:r>
                      </m:num>
                      <m:den>
                        <m:r>
                          <a:rPr lang="es-CO" sz="1100" b="0" i="1">
                            <a:latin typeface="Cambria Math" panose="02040503050406030204" pitchFamily="18" charset="0"/>
                          </a:rPr>
                          <m:t>𝑟</m:t>
                        </m:r>
                        <m:r>
                          <a:rPr lang="es-CO" sz="1100" b="0" i="1">
                            <a:latin typeface="Cambria Math" panose="02040503050406030204" pitchFamily="18" charset="0"/>
                          </a:rPr>
                          <m:t>∗</m:t>
                        </m:r>
                        <m:r>
                          <a:rPr lang="es-CO" sz="1100" b="0" i="1">
                            <a:latin typeface="Cambria Math" panose="02040503050406030204" pitchFamily="18" charset="0"/>
                          </a:rPr>
                          <m:t>𝑟</m:t>
                        </m:r>
                      </m:den>
                    </m:f>
                  </m:oMath>
                </m:oMathPara>
              </a14:m>
              <a:endParaRPr lang="es-CO" sz="1100"/>
            </a:p>
          </xdr:txBody>
        </xdr:sp>
      </mc:Choice>
      <mc:Fallback xmlns="">
        <xdr:sp macro="" textlink="">
          <xdr:nvSpPr>
            <xdr:cNvPr id="9" name="CuadroTexto 8">
              <a:extLst>
                <a:ext uri="{FF2B5EF4-FFF2-40B4-BE49-F238E27FC236}">
                  <a16:creationId xmlns:a16="http://schemas.microsoft.com/office/drawing/2014/main" id="{D0AC4C1B-F95E-4893-9412-81479918ED9F}"/>
                </a:ext>
              </a:extLst>
            </xdr:cNvPr>
            <xdr:cNvSpPr txBox="1"/>
          </xdr:nvSpPr>
          <xdr:spPr>
            <a:xfrm>
              <a:off x="6096000" y="5334000"/>
              <a:ext cx="1809750"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s-CO" sz="1100" b="0" i="0">
                  <a:latin typeface="Cambria Math" panose="02040503050406030204" pitchFamily="18" charset="0"/>
                </a:rPr>
                <a:t>𝑟 (𝑟∗𝑠)/(|𝑟|)=𝑟 (𝑟∗𝑠)/(𝑟∗𝑟)</a:t>
              </a:r>
              <a:endParaRPr lang="es-CO" sz="11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3</xdr:col>
      <xdr:colOff>704849</xdr:colOff>
      <xdr:row>13</xdr:row>
      <xdr:rowOff>152400</xdr:rowOff>
    </xdr:from>
    <xdr:ext cx="5819775" cy="514350"/>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6496049" y="2057400"/>
          <a:ext cx="5819775" cy="514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s-CO"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4</xdr:row>
          <xdr:rowOff>152400</xdr:rowOff>
        </xdr:from>
        <xdr:to>
          <xdr:col>11</xdr:col>
          <xdr:colOff>752475</xdr:colOff>
          <xdr:row>6</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Operaciones Entre Matrices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152400</xdr:rowOff>
        </xdr:from>
        <xdr:to>
          <xdr:col>11</xdr:col>
          <xdr:colOff>752475</xdr:colOff>
          <xdr:row>31</xdr:row>
          <xdr:rowOff>180975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Operaciones Entre Matrices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64</xdr:row>
          <xdr:rowOff>152400</xdr:rowOff>
        </xdr:from>
        <xdr:to>
          <xdr:col>9</xdr:col>
          <xdr:colOff>752475</xdr:colOff>
          <xdr:row>66</xdr:row>
          <xdr:rowOff>180975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Operaciones Entre Matrices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342900</xdr:colOff>
          <xdr:row>26</xdr:row>
          <xdr:rowOff>0</xdr:rowOff>
        </xdr:from>
        <xdr:to>
          <xdr:col>1</xdr:col>
          <xdr:colOff>581025</xdr:colOff>
          <xdr:row>28</xdr:row>
          <xdr:rowOff>28575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Sacar Inversa o Determinante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25</xdr:row>
          <xdr:rowOff>171450</xdr:rowOff>
        </xdr:from>
        <xdr:to>
          <xdr:col>2</xdr:col>
          <xdr:colOff>2257425</xdr:colOff>
          <xdr:row>28</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Operaciones Entre Matrices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9525</xdr:colOff>
      <xdr:row>1</xdr:row>
      <xdr:rowOff>52387</xdr:rowOff>
    </xdr:from>
    <xdr:ext cx="923138" cy="172227"/>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771525" y="242887"/>
              <a:ext cx="9231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CO" sz="1100" b="0" i="1">
                        <a:latin typeface="Cambria Math" panose="02040503050406030204" pitchFamily="18" charset="0"/>
                      </a:rPr>
                      <m:t>𝑐𝑖𝑘</m:t>
                    </m:r>
                    <m:r>
                      <a:rPr lang="es-CO" sz="1100" b="0" i="1">
                        <a:latin typeface="Cambria Math" panose="02040503050406030204" pitchFamily="18" charset="0"/>
                      </a:rPr>
                      <m:t>=</m:t>
                    </m:r>
                    <m:r>
                      <a:rPr lang="es-CO" sz="1100" b="0" i="1">
                        <a:latin typeface="Cambria Math" panose="02040503050406030204" pitchFamily="18" charset="0"/>
                      </a:rPr>
                      <m:t>𝑎𝑖𝑗</m:t>
                    </m:r>
                    <m:r>
                      <a:rPr lang="es-CO" sz="1100" b="0" i="1">
                        <a:latin typeface="Cambria Math" panose="02040503050406030204" pitchFamily="18" charset="0"/>
                      </a:rPr>
                      <m:t>∗</m:t>
                    </m:r>
                    <m:r>
                      <a:rPr lang="es-CO" sz="1100" b="0" i="1">
                        <a:latin typeface="Cambria Math" panose="02040503050406030204" pitchFamily="18" charset="0"/>
                      </a:rPr>
                      <m:t>𝑏𝑗𝑘</m:t>
                    </m:r>
                  </m:oMath>
                </m:oMathPara>
              </a14:m>
              <a:endParaRPr lang="es-CO" sz="1100"/>
            </a:p>
          </xdr:txBody>
        </xdr:sp>
      </mc:Choice>
      <mc:Fallback xmlns="">
        <xdr:sp macro="" textlink="">
          <xdr:nvSpPr>
            <xdr:cNvPr id="2" name="CuadroTexto 1">
              <a:extLst>
                <a:ext uri="{FF2B5EF4-FFF2-40B4-BE49-F238E27FC236}">
                  <a16:creationId xmlns:a16="http://schemas.microsoft.com/office/drawing/2014/main" id="{01B6B16C-5479-C501-AB60-556B7A3FADAA}"/>
                </a:ext>
              </a:extLst>
            </xdr:cNvPr>
            <xdr:cNvSpPr txBox="1"/>
          </xdr:nvSpPr>
          <xdr:spPr>
            <a:xfrm>
              <a:off x="771525" y="242887"/>
              <a:ext cx="9231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Cambria Math" panose="02040503050406030204" pitchFamily="18" charset="0"/>
                </a:rPr>
                <a:t>𝑐𝑖𝑘=𝑎𝑖𝑗∗𝑏𝑗𝑘</a:t>
              </a:r>
              <a:endParaRPr lang="es-CO" sz="1100"/>
            </a:p>
          </xdr:txBody>
        </xdr:sp>
      </mc:Fallback>
    </mc:AlternateContent>
    <xdr:clientData/>
  </xdr:oneCellAnchor>
  <mc:AlternateContent xmlns:mc="http://schemas.openxmlformats.org/markup-compatibility/2006">
    <mc:Choice xmlns:a14="http://schemas.microsoft.com/office/drawing/2010/main" Requires="a14">
      <xdr:twoCellAnchor>
        <xdr:from>
          <xdr:col>0</xdr:col>
          <xdr:colOff>571500</xdr:colOff>
          <xdr:row>20</xdr:row>
          <xdr:rowOff>19050</xdr:rowOff>
        </xdr:from>
        <xdr:to>
          <xdr:col>3</xdr:col>
          <xdr:colOff>561975</xdr:colOff>
          <xdr:row>22</xdr:row>
          <xdr:rowOff>47625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Operaciones Entre Matrices</a:t>
              </a:r>
            </a:p>
          </xdr:txBody>
        </xdr:sp>
        <xdr:clientData fPrintsWithSheet="0"/>
      </xdr:twoCellAnchor>
    </mc:Choice>
    <mc:Fallback/>
  </mc:AlternateContent>
  <xdr:oneCellAnchor>
    <xdr:from>
      <xdr:col>1</xdr:col>
      <xdr:colOff>0</xdr:colOff>
      <xdr:row>24</xdr:row>
      <xdr:rowOff>0</xdr:rowOff>
    </xdr:from>
    <xdr:ext cx="923138" cy="172227"/>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762000" y="4572000"/>
              <a:ext cx="9231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CO" sz="1100" b="0" i="1">
                        <a:latin typeface="Cambria Math" panose="02040503050406030204" pitchFamily="18" charset="0"/>
                      </a:rPr>
                      <m:t>𝑐𝑖𝑘</m:t>
                    </m:r>
                    <m:r>
                      <a:rPr lang="es-CO" sz="1100" b="0" i="1">
                        <a:latin typeface="Cambria Math" panose="02040503050406030204" pitchFamily="18" charset="0"/>
                      </a:rPr>
                      <m:t>=</m:t>
                    </m:r>
                    <m:r>
                      <a:rPr lang="es-CO" sz="1100" b="0" i="1">
                        <a:latin typeface="Cambria Math" panose="02040503050406030204" pitchFamily="18" charset="0"/>
                      </a:rPr>
                      <m:t>𝑎𝑖𝑗</m:t>
                    </m:r>
                    <m:r>
                      <a:rPr lang="es-CO" sz="1100" b="0" i="1">
                        <a:latin typeface="Cambria Math" panose="02040503050406030204" pitchFamily="18" charset="0"/>
                      </a:rPr>
                      <m:t>∗</m:t>
                    </m:r>
                    <m:r>
                      <a:rPr lang="es-CO" sz="1100" b="0" i="1">
                        <a:latin typeface="Cambria Math" panose="02040503050406030204" pitchFamily="18" charset="0"/>
                      </a:rPr>
                      <m:t>𝑏𝑗𝑘</m:t>
                    </m:r>
                  </m:oMath>
                </m:oMathPara>
              </a14:m>
              <a:endParaRPr lang="es-CO" sz="1100"/>
            </a:p>
          </xdr:txBody>
        </xdr:sp>
      </mc:Choice>
      <mc:Fallback xmlns="">
        <xdr:sp macro="" textlink="">
          <xdr:nvSpPr>
            <xdr:cNvPr id="4" name="CuadroTexto 3">
              <a:extLst>
                <a:ext uri="{FF2B5EF4-FFF2-40B4-BE49-F238E27FC236}">
                  <a16:creationId xmlns:a16="http://schemas.microsoft.com/office/drawing/2014/main" id="{C7DBA71C-8A80-453E-8C40-EB83265DF98E}"/>
                </a:ext>
              </a:extLst>
            </xdr:cNvPr>
            <xdr:cNvSpPr txBox="1"/>
          </xdr:nvSpPr>
          <xdr:spPr>
            <a:xfrm>
              <a:off x="762000" y="4572000"/>
              <a:ext cx="9231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Cambria Math" panose="02040503050406030204" pitchFamily="18" charset="0"/>
                </a:rPr>
                <a:t>𝑐𝑖𝑘=𝑎𝑖𝑗∗𝑏𝑗𝑘</a:t>
              </a:r>
              <a:endParaRPr lang="es-CO" sz="1100"/>
            </a:p>
          </xdr:txBody>
        </xdr:sp>
      </mc:Fallback>
    </mc:AlternateContent>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15</xdr:row>
          <xdr:rowOff>161925</xdr:rowOff>
        </xdr:from>
        <xdr:to>
          <xdr:col>11</xdr:col>
          <xdr:colOff>752475</xdr:colOff>
          <xdr:row>19</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Operaciones Entre Matrices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23</xdr:row>
          <xdr:rowOff>9525</xdr:rowOff>
        </xdr:from>
        <xdr:to>
          <xdr:col>12</xdr:col>
          <xdr:colOff>85725</xdr:colOff>
          <xdr:row>25</xdr:row>
          <xdr:rowOff>38100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8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Sacar Inversa o Determinante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266700</xdr:colOff>
          <xdr:row>5</xdr:row>
          <xdr:rowOff>161925</xdr:rowOff>
        </xdr:from>
        <xdr:to>
          <xdr:col>7</xdr:col>
          <xdr:colOff>142875</xdr:colOff>
          <xdr:row>8</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Operaciones Entre Matrices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5</xdr:col>
      <xdr:colOff>76200</xdr:colOff>
      <xdr:row>23</xdr:row>
      <xdr:rowOff>76200</xdr:rowOff>
    </xdr:from>
    <xdr:to>
      <xdr:col>9</xdr:col>
      <xdr:colOff>542925</xdr:colOff>
      <xdr:row>27</xdr:row>
      <xdr:rowOff>114300</xdr:rowOff>
    </xdr:to>
    <xdr:sp macro="" textlink="">
      <xdr:nvSpPr>
        <xdr:cNvPr id="2" name="CuadroTexto 1">
          <a:extLst>
            <a:ext uri="{FF2B5EF4-FFF2-40B4-BE49-F238E27FC236}">
              <a16:creationId xmlns:a16="http://schemas.microsoft.com/office/drawing/2014/main" id="{00000000-0008-0000-0A00-000002000000}"/>
            </a:ext>
          </a:extLst>
        </xdr:cNvPr>
        <xdr:cNvSpPr txBox="1"/>
      </xdr:nvSpPr>
      <xdr:spPr>
        <a:xfrm>
          <a:off x="3886200" y="4457700"/>
          <a:ext cx="351472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Teorema</a:t>
          </a:r>
          <a:r>
            <a:rPr lang="es-CO" sz="1100" baseline="0"/>
            <a:t>: sea v1 un vector distinto de cero (todos los valores iguales a cero)  si {v1,A*v1} son dependientes  entonces v1 es eigenvector </a:t>
          </a:r>
          <a:endParaRPr lang="es-CO" sz="1100"/>
        </a:p>
      </xdr:txBody>
    </xdr:sp>
    <xdr:clientData/>
  </xdr:twoCellAnchor>
  <xdr:twoCellAnchor>
    <xdr:from>
      <xdr:col>5</xdr:col>
      <xdr:colOff>66675</xdr:colOff>
      <xdr:row>29</xdr:row>
      <xdr:rowOff>0</xdr:rowOff>
    </xdr:from>
    <xdr:to>
      <xdr:col>9</xdr:col>
      <xdr:colOff>533400</xdr:colOff>
      <xdr:row>33</xdr:row>
      <xdr:rowOff>38100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3876675" y="5524500"/>
          <a:ext cx="351472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Teorema</a:t>
          </a:r>
          <a:r>
            <a:rPr lang="es-CO" sz="1100" baseline="0"/>
            <a:t>: Si {v1,v1A} son independientes pero {v1,A*v1,(A^2 )*v1} son dependientes existen escalares r1 y r2 tales que: (A-r1*l)*(A-r2*l)=0</a:t>
          </a:r>
          <a:endParaRPr lang="es-CO" sz="1100"/>
        </a:p>
      </xdr:txBody>
    </xdr:sp>
    <xdr:clientData/>
  </xdr:twoCellAnchor>
  <xdr:twoCellAnchor>
    <xdr:from>
      <xdr:col>5</xdr:col>
      <xdr:colOff>114300</xdr:colOff>
      <xdr:row>34</xdr:row>
      <xdr:rowOff>85725</xdr:rowOff>
    </xdr:from>
    <xdr:to>
      <xdr:col>9</xdr:col>
      <xdr:colOff>561975</xdr:colOff>
      <xdr:row>38</xdr:row>
      <xdr:rowOff>95250</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3924300" y="6562725"/>
          <a:ext cx="3495675"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Entonces, si V1 es un vector distinto</a:t>
          </a:r>
          <a:r>
            <a:rPr lang="es-CO" sz="1100" baseline="0"/>
            <a:t> de cero y  </a:t>
          </a:r>
        </a:p>
        <a:p>
          <a:r>
            <a:rPr lang="es-CO" sz="1100" baseline="0"/>
            <a:t>(A-r1*I)*(A-r2*I)*v1=0  v1 es un eigenvalor parea r2 o (A-r2)*v1 un eigenvector r1</a:t>
          </a:r>
          <a:endParaRPr lang="es-CO" sz="1100"/>
        </a:p>
      </xdr:txBody>
    </xdr:sp>
    <xdr:clientData/>
  </xdr:twoCellAnchor>
  <mc:AlternateContent xmlns:mc="http://schemas.openxmlformats.org/markup-compatibility/2006">
    <mc:Choice xmlns:a14="http://schemas.microsoft.com/office/drawing/2010/main" Requires="a14">
      <xdr:twoCellAnchor>
        <xdr:from>
          <xdr:col>6</xdr:col>
          <xdr:colOff>438150</xdr:colOff>
          <xdr:row>40</xdr:row>
          <xdr:rowOff>152400</xdr:rowOff>
        </xdr:from>
        <xdr:to>
          <xdr:col>9</xdr:col>
          <xdr:colOff>314325</xdr:colOff>
          <xdr:row>42</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Operaciones Entre Matrices</a:t>
              </a:r>
            </a:p>
          </xdr:txBody>
        </xdr:sp>
        <xdr:clientData fPrintsWithSheet="0"/>
      </xdr:twoCellAnchor>
    </mc:Choice>
    <mc:Fallback/>
  </mc:AlternateContent>
  <xdr:twoCellAnchor>
    <xdr:from>
      <xdr:col>10</xdr:col>
      <xdr:colOff>342900</xdr:colOff>
      <xdr:row>44</xdr:row>
      <xdr:rowOff>38100</xdr:rowOff>
    </xdr:from>
    <xdr:to>
      <xdr:col>15</xdr:col>
      <xdr:colOff>28575</xdr:colOff>
      <xdr:row>48</xdr:row>
      <xdr:rowOff>47625</xdr:rowOff>
    </xdr:to>
    <xdr:sp macro="" textlink="">
      <xdr:nvSpPr>
        <xdr:cNvPr id="6" name="CuadroTexto 5">
          <a:extLst>
            <a:ext uri="{FF2B5EF4-FFF2-40B4-BE49-F238E27FC236}">
              <a16:creationId xmlns:a16="http://schemas.microsoft.com/office/drawing/2014/main" id="{00000000-0008-0000-0A00-000006000000}"/>
            </a:ext>
          </a:extLst>
        </xdr:cNvPr>
        <xdr:cNvSpPr txBox="1"/>
      </xdr:nvSpPr>
      <xdr:spPr>
        <a:xfrm>
          <a:off x="7962900" y="8420100"/>
          <a:ext cx="3495675"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Deben</a:t>
          </a:r>
          <a:r>
            <a:rPr lang="es-CO" sz="1100" baseline="0"/>
            <a:t> habrer unos valores diferentes de cero donde :</a:t>
          </a:r>
        </a:p>
        <a:p>
          <a:r>
            <a:rPr lang="es-CO" sz="1100" baseline="0"/>
            <a:t>x1*A+x2*A*v+x3*(A^2)*v=0</a:t>
          </a:r>
          <a:endParaRPr lang="es-CO" sz="1100"/>
        </a:p>
      </xdr:txBody>
    </xdr:sp>
    <xdr:clientData/>
  </xdr:twoCellAnchor>
  <mc:AlternateContent xmlns:mc="http://schemas.openxmlformats.org/markup-compatibility/2006">
    <mc:Choice xmlns:a14="http://schemas.microsoft.com/office/drawing/2010/main" Requires="a14">
      <xdr:twoCellAnchor>
        <xdr:from>
          <xdr:col>7</xdr:col>
          <xdr:colOff>95250</xdr:colOff>
          <xdr:row>56</xdr:row>
          <xdr:rowOff>9525</xdr:rowOff>
        </xdr:from>
        <xdr:to>
          <xdr:col>10</xdr:col>
          <xdr:colOff>85725</xdr:colOff>
          <xdr:row>58</xdr:row>
          <xdr:rowOff>38100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A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Sacar Inversa o Determinante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752475</xdr:colOff>
          <xdr:row>8</xdr:row>
          <xdr:rowOff>180975</xdr:rowOff>
        </xdr:from>
        <xdr:to>
          <xdr:col>13</xdr:col>
          <xdr:colOff>628650</xdr:colOff>
          <xdr:row>11</xdr:row>
          <xdr:rowOff>19050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Subrutina Operaciones Entre Matrices</a:t>
              </a:r>
            </a:p>
          </xdr:txBody>
        </xdr:sp>
        <xdr:clientData fPrintsWithSheet="0"/>
      </xdr:twoCellAnchor>
    </mc:Choice>
    <mc:Fallback/>
  </mc:AlternateContent>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87FB20D8-7189-44EB-855A-D239ABD395E6}">
  <dimension ref="A1"/>
  <sheetViews>
    <sheetView showFormulas="1" topLeftCell="A4" workbookViewId="0">
      <selection activeCell="E5" sqref="E5"/>
    </sheetView>
  </sheetViews>
  <sheetFormatPr baseColWidth="10" defaultRowHeight="15" x14ac:dyDescent="0.25"/>
  <sheetData/>
  <pageMargins left="0.7" right="0.7" top="0.75" bottom="0.75" header="0.3" footer="0.3"/>
</xm:macrosheet>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CAB8B-6629-401E-A8F9-5330214BE277}">
  <sheetPr codeName="Hoja1"/>
  <dimension ref="A1:V72"/>
  <sheetViews>
    <sheetView tabSelected="1" workbookViewId="0">
      <selection activeCell="J8" sqref="J8"/>
    </sheetView>
  </sheetViews>
  <sheetFormatPr baseColWidth="10" defaultRowHeight="15" x14ac:dyDescent="0.25"/>
  <cols>
    <col min="11" max="11" width="19.140625" bestFit="1" customWidth="1"/>
    <col min="12" max="12" width="12.5703125" bestFit="1" customWidth="1"/>
  </cols>
  <sheetData>
    <row r="1" spans="1:22" x14ac:dyDescent="0.25">
      <c r="A1" s="17"/>
      <c r="B1" s="50" t="s">
        <v>126</v>
      </c>
      <c r="C1" s="50"/>
      <c r="D1" s="18"/>
      <c r="E1" s="19"/>
      <c r="G1" s="27" t="s">
        <v>138</v>
      </c>
      <c r="H1" s="18"/>
      <c r="I1" s="21"/>
      <c r="J1" s="18"/>
      <c r="K1" s="18"/>
      <c r="L1" s="18"/>
      <c r="M1" s="18"/>
      <c r="N1" s="18"/>
      <c r="O1" s="18"/>
      <c r="P1" s="19"/>
      <c r="R1" t="s">
        <v>152</v>
      </c>
    </row>
    <row r="2" spans="1:22" x14ac:dyDescent="0.25">
      <c r="A2" s="20"/>
      <c r="B2" s="21"/>
      <c r="C2" s="21"/>
      <c r="D2" s="21"/>
      <c r="E2" s="22"/>
      <c r="G2" s="20"/>
      <c r="H2" s="21"/>
      <c r="I2" s="21"/>
      <c r="J2" s="21"/>
      <c r="K2" s="28" t="s">
        <v>139</v>
      </c>
      <c r="L2" s="21"/>
      <c r="M2" s="21"/>
      <c r="N2" s="21"/>
      <c r="O2" s="21"/>
      <c r="P2" s="22"/>
      <c r="R2" s="39" t="s">
        <v>139</v>
      </c>
      <c r="S2" s="36"/>
      <c r="T2" s="36"/>
      <c r="U2" s="36"/>
      <c r="V2" s="36"/>
    </row>
    <row r="3" spans="1:22" x14ac:dyDescent="0.25">
      <c r="A3" s="20"/>
      <c r="B3" s="21"/>
      <c r="C3" s="21"/>
      <c r="D3" s="21"/>
      <c r="E3" s="22"/>
      <c r="G3" s="20" t="s">
        <v>141</v>
      </c>
      <c r="H3" s="21"/>
      <c r="I3" s="21"/>
      <c r="J3" s="21"/>
      <c r="K3" s="21"/>
      <c r="L3" s="21"/>
      <c r="M3" s="21"/>
      <c r="N3" s="21"/>
      <c r="O3" s="21"/>
      <c r="P3" s="22"/>
      <c r="R3" s="36"/>
      <c r="S3" s="36"/>
      <c r="T3" s="36"/>
      <c r="U3" s="36"/>
      <c r="V3" s="36"/>
    </row>
    <row r="4" spans="1:22" x14ac:dyDescent="0.25">
      <c r="A4" s="20">
        <v>1</v>
      </c>
      <c r="B4" s="21"/>
      <c r="C4" s="21"/>
      <c r="D4" s="21"/>
      <c r="E4" s="22"/>
      <c r="G4" s="20"/>
      <c r="H4" s="21"/>
      <c r="I4" s="21"/>
      <c r="J4" s="21"/>
      <c r="K4" s="21">
        <v>1</v>
      </c>
      <c r="L4" s="21">
        <v>7</v>
      </c>
      <c r="M4" s="21"/>
      <c r="N4" s="21">
        <v>3</v>
      </c>
      <c r="O4" s="26">
        <v>8</v>
      </c>
      <c r="P4" s="22"/>
      <c r="R4" s="36">
        <v>1</v>
      </c>
      <c r="S4" s="36">
        <v>7</v>
      </c>
      <c r="T4" s="36"/>
      <c r="U4" s="36">
        <v>3</v>
      </c>
      <c r="V4" s="38">
        <v>8</v>
      </c>
    </row>
    <row r="5" spans="1:22" x14ac:dyDescent="0.25">
      <c r="A5" s="20"/>
      <c r="B5" s="21"/>
      <c r="C5" s="21"/>
      <c r="D5" s="21"/>
      <c r="E5" s="22"/>
      <c r="G5" s="20"/>
      <c r="H5" s="21"/>
      <c r="I5" s="21"/>
      <c r="J5" s="21"/>
      <c r="K5" s="21">
        <v>2</v>
      </c>
      <c r="L5" s="21">
        <v>8</v>
      </c>
      <c r="M5" s="21"/>
      <c r="N5" s="21">
        <v>4</v>
      </c>
      <c r="O5" s="21">
        <v>2</v>
      </c>
      <c r="P5" s="22"/>
      <c r="R5" s="36">
        <v>2</v>
      </c>
      <c r="S5" s="36">
        <v>8</v>
      </c>
      <c r="T5" s="36"/>
      <c r="U5" s="36">
        <v>4</v>
      </c>
      <c r="V5" s="36">
        <v>2</v>
      </c>
    </row>
    <row r="6" spans="1:22" x14ac:dyDescent="0.25">
      <c r="A6" s="20"/>
      <c r="B6" s="21"/>
      <c r="C6" s="21"/>
      <c r="D6" s="21"/>
      <c r="E6" s="22"/>
      <c r="G6" s="20"/>
      <c r="H6" s="21"/>
      <c r="I6" s="21"/>
      <c r="J6" s="21"/>
      <c r="K6" s="21"/>
      <c r="L6" s="21"/>
      <c r="M6" s="21"/>
      <c r="N6" s="21"/>
      <c r="O6" s="21"/>
      <c r="P6" s="22"/>
    </row>
    <row r="7" spans="1:22" x14ac:dyDescent="0.25">
      <c r="A7" s="20">
        <v>2</v>
      </c>
      <c r="B7" s="21"/>
      <c r="C7" s="21"/>
      <c r="D7" s="21"/>
      <c r="E7" s="22"/>
      <c r="G7" s="20"/>
      <c r="H7" s="21"/>
      <c r="I7" s="21"/>
      <c r="J7" s="21"/>
      <c r="K7" s="21"/>
      <c r="L7" s="21"/>
      <c r="M7" s="21"/>
      <c r="N7" s="21"/>
      <c r="O7" s="21"/>
      <c r="P7" s="22"/>
    </row>
    <row r="8" spans="1:22" x14ac:dyDescent="0.25">
      <c r="A8" s="20"/>
      <c r="B8" s="21"/>
      <c r="C8" s="21"/>
      <c r="D8" s="21"/>
      <c r="E8" s="22"/>
      <c r="G8" s="20"/>
      <c r="H8" s="21"/>
      <c r="I8" s="21"/>
      <c r="J8" s="21"/>
      <c r="K8" s="28" t="s">
        <v>140</v>
      </c>
      <c r="L8" s="21"/>
      <c r="M8" s="21"/>
      <c r="N8" s="21"/>
      <c r="O8" s="21"/>
      <c r="P8" s="22"/>
    </row>
    <row r="9" spans="1:22" x14ac:dyDescent="0.25">
      <c r="A9" s="20"/>
      <c r="B9" s="21"/>
      <c r="C9" s="21"/>
      <c r="D9" s="21"/>
      <c r="E9" s="22"/>
      <c r="G9" s="20"/>
      <c r="H9" s="21"/>
      <c r="I9" s="21"/>
      <c r="J9" s="21"/>
      <c r="K9" s="21"/>
      <c r="L9" s="21"/>
      <c r="M9" s="21"/>
      <c r="N9" s="21"/>
      <c r="O9" s="21"/>
      <c r="P9" s="22"/>
    </row>
    <row r="10" spans="1:22" x14ac:dyDescent="0.25">
      <c r="A10" s="20">
        <v>3</v>
      </c>
      <c r="B10" s="21"/>
      <c r="C10" s="21"/>
      <c r="D10" s="21"/>
      <c r="E10" s="22"/>
      <c r="G10" s="20"/>
      <c r="H10" s="21"/>
      <c r="I10" s="21"/>
      <c r="J10" s="21"/>
      <c r="K10" s="21">
        <v>1</v>
      </c>
      <c r="L10" s="21">
        <v>2</v>
      </c>
      <c r="M10" s="21"/>
      <c r="N10" s="21">
        <v>4</v>
      </c>
      <c r="O10" s="21"/>
      <c r="P10" s="22"/>
      <c r="Q10" s="29"/>
    </row>
    <row r="11" spans="1:22" x14ac:dyDescent="0.25">
      <c r="A11" s="20"/>
      <c r="B11" s="21"/>
      <c r="C11" s="21"/>
      <c r="D11" s="21"/>
      <c r="E11" s="22"/>
      <c r="G11" s="20"/>
      <c r="H11" s="21"/>
      <c r="I11" s="21"/>
      <c r="J11" s="21"/>
      <c r="K11" s="21"/>
      <c r="L11" s="21"/>
      <c r="M11" s="21"/>
      <c r="N11" s="21">
        <v>7</v>
      </c>
      <c r="O11" s="21"/>
      <c r="P11" s="22"/>
      <c r="Q11" s="29"/>
    </row>
    <row r="12" spans="1:22" x14ac:dyDescent="0.25">
      <c r="A12" s="20"/>
      <c r="B12" s="21"/>
      <c r="C12" s="21"/>
      <c r="D12" s="21"/>
      <c r="E12" s="22"/>
      <c r="G12" s="20"/>
      <c r="H12" s="21"/>
      <c r="I12" s="21"/>
      <c r="J12" s="21"/>
      <c r="K12" s="36" t="s">
        <v>151</v>
      </c>
      <c r="L12" s="36"/>
      <c r="M12" s="36"/>
      <c r="N12" s="36"/>
      <c r="O12" s="21"/>
      <c r="P12" s="22"/>
      <c r="Q12" s="29"/>
    </row>
    <row r="13" spans="1:22" x14ac:dyDescent="0.25">
      <c r="A13" s="20">
        <v>4</v>
      </c>
      <c r="B13" s="21"/>
      <c r="C13" s="21"/>
      <c r="D13" s="21"/>
      <c r="E13" s="22"/>
      <c r="G13" s="20"/>
      <c r="H13" s="21"/>
      <c r="I13" s="21"/>
      <c r="J13" s="21"/>
      <c r="K13" s="36">
        <v>1</v>
      </c>
      <c r="L13" s="36"/>
      <c r="M13" s="36"/>
      <c r="N13" s="36">
        <v>4</v>
      </c>
      <c r="O13" s="21"/>
      <c r="P13" s="22"/>
      <c r="Q13" s="29"/>
    </row>
    <row r="14" spans="1:22" x14ac:dyDescent="0.25">
      <c r="A14" s="20"/>
      <c r="B14" s="21"/>
      <c r="C14" s="21"/>
      <c r="D14" s="21"/>
      <c r="E14" s="22"/>
      <c r="G14" s="20"/>
      <c r="H14" s="21"/>
      <c r="I14" s="21"/>
      <c r="J14" s="21"/>
      <c r="K14" s="36">
        <v>2</v>
      </c>
      <c r="L14" s="36"/>
      <c r="M14" s="36"/>
      <c r="N14" s="38">
        <v>7</v>
      </c>
      <c r="O14" s="21"/>
      <c r="P14" s="22"/>
      <c r="Q14" s="29"/>
    </row>
    <row r="15" spans="1:22" x14ac:dyDescent="0.25">
      <c r="A15" s="20"/>
      <c r="B15" s="21"/>
      <c r="C15" s="21"/>
      <c r="D15" s="21"/>
      <c r="E15" s="22"/>
      <c r="G15" s="20"/>
      <c r="H15" s="21"/>
      <c r="I15" s="21"/>
      <c r="J15" s="21"/>
      <c r="K15" s="21"/>
      <c r="L15" s="21"/>
      <c r="M15" s="21"/>
      <c r="N15" s="21"/>
      <c r="O15" s="21"/>
      <c r="P15" s="22"/>
    </row>
    <row r="16" spans="1:22" x14ac:dyDescent="0.25">
      <c r="A16" s="20">
        <v>5</v>
      </c>
      <c r="B16" s="21"/>
      <c r="C16" s="21"/>
      <c r="D16" s="21"/>
      <c r="E16" s="22"/>
      <c r="G16" s="20" t="s">
        <v>142</v>
      </c>
      <c r="H16" s="21"/>
      <c r="I16" s="21"/>
      <c r="J16" s="21"/>
      <c r="K16" s="28"/>
      <c r="L16" s="21"/>
      <c r="M16" s="21"/>
      <c r="N16" s="21"/>
      <c r="O16" s="21"/>
      <c r="P16" s="22"/>
      <c r="R16" t="s">
        <v>152</v>
      </c>
    </row>
    <row r="17" spans="1:19" x14ac:dyDescent="0.25">
      <c r="A17" s="20"/>
      <c r="B17" s="21"/>
      <c r="C17" s="21"/>
      <c r="D17" s="21"/>
      <c r="E17" s="22"/>
      <c r="G17" s="20"/>
      <c r="H17" s="21"/>
      <c r="I17" s="21"/>
      <c r="J17" s="21"/>
      <c r="K17" s="37" t="s">
        <v>139</v>
      </c>
      <c r="L17" s="36"/>
      <c r="M17" s="21"/>
      <c r="N17" s="21"/>
      <c r="O17" s="21"/>
      <c r="P17" s="22"/>
      <c r="R17" s="39" t="s">
        <v>139</v>
      </c>
      <c r="S17" s="36"/>
    </row>
    <row r="18" spans="1:19" x14ac:dyDescent="0.25">
      <c r="A18" s="20"/>
      <c r="B18" s="21"/>
      <c r="C18" s="21"/>
      <c r="D18" s="21"/>
      <c r="E18" s="22"/>
      <c r="G18" s="20"/>
      <c r="H18" s="21"/>
      <c r="I18" s="21"/>
      <c r="J18" s="21"/>
      <c r="K18" s="21">
        <v>2</v>
      </c>
      <c r="L18" s="21">
        <v>23</v>
      </c>
      <c r="M18" s="21"/>
      <c r="P18" s="22"/>
      <c r="R18" s="36">
        <v>2</v>
      </c>
      <c r="S18" s="36">
        <v>23</v>
      </c>
    </row>
    <row r="19" spans="1:19" x14ac:dyDescent="0.25">
      <c r="A19" s="20">
        <v>6</v>
      </c>
      <c r="B19" s="21"/>
      <c r="C19" s="21"/>
      <c r="D19" s="21"/>
      <c r="E19" s="22"/>
      <c r="G19" s="20"/>
      <c r="H19" s="21"/>
      <c r="I19" s="21"/>
      <c r="J19" s="21"/>
      <c r="K19" s="21">
        <v>21</v>
      </c>
      <c r="L19" s="21">
        <v>56</v>
      </c>
      <c r="M19" s="21"/>
      <c r="P19" s="22"/>
      <c r="R19" s="36">
        <v>21</v>
      </c>
      <c r="S19" s="36">
        <v>56</v>
      </c>
    </row>
    <row r="20" spans="1:19" x14ac:dyDescent="0.25">
      <c r="A20" s="20"/>
      <c r="B20" s="21"/>
      <c r="C20" s="21"/>
      <c r="D20" s="21"/>
      <c r="E20" s="22"/>
      <c r="G20" s="20"/>
      <c r="H20" s="21"/>
      <c r="I20" s="21"/>
      <c r="J20" s="21"/>
      <c r="M20" s="21"/>
      <c r="N20" s="21"/>
      <c r="O20" s="21"/>
      <c r="P20" s="22"/>
    </row>
    <row r="21" spans="1:19" x14ac:dyDescent="0.25">
      <c r="A21" s="20"/>
      <c r="B21" s="21"/>
      <c r="C21" s="21"/>
      <c r="D21" s="21"/>
      <c r="E21" s="22"/>
      <c r="G21" s="20"/>
      <c r="H21" s="21"/>
      <c r="I21" s="21"/>
      <c r="J21" s="21"/>
      <c r="K21" s="36">
        <v>1</v>
      </c>
      <c r="L21" s="36">
        <v>2</v>
      </c>
      <c r="M21" s="21"/>
      <c r="N21" s="21"/>
      <c r="O21" s="21"/>
      <c r="P21" s="22"/>
    </row>
    <row r="22" spans="1:19" x14ac:dyDescent="0.25">
      <c r="A22" s="20"/>
      <c r="B22" s="21"/>
      <c r="C22" s="21"/>
      <c r="D22" s="21"/>
      <c r="E22" s="22"/>
      <c r="G22" s="20"/>
      <c r="H22" s="21"/>
      <c r="I22" s="21"/>
      <c r="J22" s="21"/>
      <c r="K22" s="36">
        <v>2</v>
      </c>
      <c r="L22" s="36">
        <v>4</v>
      </c>
      <c r="M22" s="21"/>
      <c r="N22" s="21"/>
      <c r="O22" s="21"/>
      <c r="P22" s="22"/>
    </row>
    <row r="23" spans="1:19" x14ac:dyDescent="0.25">
      <c r="A23" s="20">
        <v>7</v>
      </c>
      <c r="B23" s="21"/>
      <c r="C23" s="21"/>
      <c r="D23" s="21"/>
      <c r="E23" s="22"/>
      <c r="G23" s="20"/>
      <c r="H23" s="21"/>
      <c r="I23" s="21"/>
      <c r="J23" s="21"/>
      <c r="K23" s="36" t="s">
        <v>151</v>
      </c>
      <c r="L23" s="36"/>
      <c r="M23" s="21"/>
      <c r="N23" s="21"/>
      <c r="O23" s="21"/>
      <c r="P23" s="22"/>
    </row>
    <row r="24" spans="1:19" x14ac:dyDescent="0.25">
      <c r="A24" s="20"/>
      <c r="B24" s="21"/>
      <c r="C24" s="21"/>
      <c r="D24" s="21"/>
      <c r="E24" s="22"/>
      <c r="G24" s="20" t="s">
        <v>143</v>
      </c>
      <c r="H24" s="21"/>
      <c r="I24" s="21"/>
      <c r="J24" s="21"/>
      <c r="K24" s="21"/>
      <c r="L24" s="21"/>
      <c r="M24" s="21"/>
      <c r="N24" s="21"/>
      <c r="O24" s="21"/>
      <c r="P24" s="22"/>
    </row>
    <row r="25" spans="1:19" x14ac:dyDescent="0.25">
      <c r="A25" s="20"/>
      <c r="B25" s="21"/>
      <c r="C25" s="21"/>
      <c r="D25" s="21"/>
      <c r="E25" s="22"/>
      <c r="G25" s="20"/>
      <c r="H25" s="21"/>
      <c r="I25" s="21"/>
      <c r="J25" s="21"/>
      <c r="K25" s="21"/>
      <c r="L25" s="21"/>
      <c r="M25" s="21"/>
      <c r="N25" s="21"/>
      <c r="O25" s="21"/>
      <c r="P25" s="22"/>
    </row>
    <row r="26" spans="1:19" x14ac:dyDescent="0.25">
      <c r="A26" s="20"/>
      <c r="B26" s="21"/>
      <c r="C26" s="21"/>
      <c r="D26" s="21"/>
      <c r="E26" s="22"/>
      <c r="G26" s="20"/>
      <c r="H26" s="21"/>
      <c r="I26" s="21"/>
      <c r="J26" s="21"/>
      <c r="K26" s="21"/>
      <c r="L26" s="21"/>
      <c r="M26" s="21"/>
      <c r="N26" s="21"/>
      <c r="O26" s="21"/>
      <c r="P26" s="22"/>
    </row>
    <row r="27" spans="1:19" x14ac:dyDescent="0.25">
      <c r="A27" s="20"/>
      <c r="B27" s="21"/>
      <c r="C27" s="21"/>
      <c r="D27" s="21"/>
      <c r="E27" s="22"/>
      <c r="G27" s="20"/>
      <c r="H27" s="21"/>
      <c r="I27" s="21"/>
      <c r="J27" s="21"/>
      <c r="K27" s="21" t="s">
        <v>148</v>
      </c>
      <c r="L27" s="21"/>
      <c r="M27" s="21"/>
      <c r="N27" s="21"/>
      <c r="O27" s="21"/>
      <c r="P27" s="22"/>
    </row>
    <row r="28" spans="1:19" x14ac:dyDescent="0.25">
      <c r="A28" s="20"/>
      <c r="B28" s="21"/>
      <c r="C28" s="21"/>
      <c r="D28" s="21"/>
      <c r="E28" s="22"/>
      <c r="G28" s="20"/>
      <c r="H28" s="21"/>
      <c r="I28" s="21"/>
      <c r="J28" s="21"/>
      <c r="K28" s="21"/>
      <c r="M28" s="21"/>
      <c r="N28" s="21"/>
      <c r="O28" s="21"/>
      <c r="P28" s="22"/>
    </row>
    <row r="29" spans="1:19" x14ac:dyDescent="0.25">
      <c r="A29" s="20"/>
      <c r="B29" s="21"/>
      <c r="C29" s="21"/>
      <c r="D29" s="21"/>
      <c r="E29" s="22"/>
      <c r="G29" s="20"/>
      <c r="H29" s="21"/>
      <c r="I29" s="21"/>
      <c r="J29" s="21"/>
      <c r="K29" t="s">
        <v>149</v>
      </c>
      <c r="L29" t="s">
        <v>150</v>
      </c>
      <c r="M29" s="21"/>
      <c r="N29" t="s">
        <v>22</v>
      </c>
      <c r="O29" s="21"/>
      <c r="P29" s="22"/>
    </row>
    <row r="30" spans="1:19" x14ac:dyDescent="0.25">
      <c r="A30" s="20"/>
      <c r="B30" s="21"/>
      <c r="C30" s="21"/>
      <c r="D30" s="21"/>
      <c r="E30" s="22"/>
      <c r="G30" s="20"/>
      <c r="H30" s="21"/>
      <c r="I30" s="21"/>
      <c r="J30" s="21"/>
      <c r="K30">
        <v>2</v>
      </c>
      <c r="L30">
        <v>-2</v>
      </c>
      <c r="N30">
        <v>3</v>
      </c>
      <c r="O30" s="21"/>
      <c r="P30" s="22"/>
    </row>
    <row r="31" spans="1:19" x14ac:dyDescent="0.25">
      <c r="A31" s="20"/>
      <c r="B31" s="21"/>
      <c r="C31" s="21"/>
      <c r="D31" s="21"/>
      <c r="E31" s="22"/>
      <c r="G31" s="20"/>
      <c r="I31" s="21"/>
      <c r="J31" s="21"/>
      <c r="K31">
        <v>1</v>
      </c>
      <c r="L31">
        <v>4</v>
      </c>
      <c r="N31">
        <v>4</v>
      </c>
      <c r="O31" s="21"/>
      <c r="P31" s="22"/>
    </row>
    <row r="32" spans="1:19" x14ac:dyDescent="0.25">
      <c r="A32" s="20"/>
      <c r="B32" s="21"/>
      <c r="C32" s="21"/>
      <c r="D32" s="21"/>
      <c r="E32" s="22"/>
      <c r="G32" s="20"/>
      <c r="I32" s="21"/>
      <c r="J32" s="21"/>
      <c r="K32" s="21"/>
      <c r="O32" s="21"/>
      <c r="P32" s="22"/>
    </row>
    <row r="33" spans="1:16" x14ac:dyDescent="0.25">
      <c r="A33" s="20"/>
      <c r="B33" s="21"/>
      <c r="C33" s="21"/>
      <c r="D33" s="21"/>
      <c r="E33" s="22"/>
      <c r="G33" s="20"/>
      <c r="I33" s="21"/>
      <c r="J33" s="21"/>
      <c r="K33" s="21"/>
      <c r="L33" s="21"/>
      <c r="M33" s="21"/>
      <c r="N33" s="21"/>
      <c r="O33" s="21"/>
      <c r="P33" s="22"/>
    </row>
    <row r="34" spans="1:16" x14ac:dyDescent="0.25">
      <c r="A34" s="20"/>
      <c r="B34" s="21"/>
      <c r="C34" s="21"/>
      <c r="D34" s="21"/>
      <c r="E34" s="22"/>
      <c r="G34" s="20"/>
      <c r="H34" s="21"/>
      <c r="I34" s="21"/>
      <c r="J34" s="21"/>
      <c r="K34" s="29" t="s">
        <v>149</v>
      </c>
      <c r="L34" s="29" t="s">
        <v>150</v>
      </c>
      <c r="M34" s="36"/>
      <c r="N34" s="29" t="s">
        <v>22</v>
      </c>
      <c r="O34" s="21"/>
      <c r="P34" s="22"/>
    </row>
    <row r="35" spans="1:16" x14ac:dyDescent="0.25">
      <c r="A35" s="20"/>
      <c r="B35" s="21"/>
      <c r="C35" s="21"/>
      <c r="D35" s="21"/>
      <c r="E35" s="22"/>
      <c r="G35" s="20"/>
      <c r="H35" s="21"/>
      <c r="I35" s="21"/>
      <c r="J35" s="21"/>
      <c r="K35" s="36">
        <v>2</v>
      </c>
      <c r="L35" s="36">
        <v>-2</v>
      </c>
      <c r="M35" s="36"/>
      <c r="N35" s="36">
        <v>3</v>
      </c>
      <c r="O35" s="21"/>
      <c r="P35" s="22"/>
    </row>
    <row r="36" spans="1:16" x14ac:dyDescent="0.25">
      <c r="A36" s="20"/>
      <c r="B36" s="21"/>
      <c r="C36" s="21"/>
      <c r="D36" s="21"/>
      <c r="E36" s="22"/>
      <c r="G36" s="20"/>
      <c r="H36" s="21"/>
      <c r="I36" s="21"/>
      <c r="J36" s="21"/>
      <c r="K36" s="36">
        <v>1</v>
      </c>
      <c r="L36" s="36">
        <v>-1</v>
      </c>
      <c r="M36" s="36"/>
      <c r="N36" s="36">
        <v>4</v>
      </c>
      <c r="O36" s="21"/>
      <c r="P36" s="22"/>
    </row>
    <row r="37" spans="1:16" x14ac:dyDescent="0.25">
      <c r="A37" s="20"/>
      <c r="B37" s="21"/>
      <c r="C37" s="21"/>
      <c r="D37" s="21"/>
      <c r="E37" s="22"/>
      <c r="G37" s="20"/>
      <c r="H37" s="21"/>
      <c r="I37" s="21"/>
      <c r="J37" s="21"/>
      <c r="K37" s="36" t="s">
        <v>151</v>
      </c>
      <c r="L37" s="21"/>
      <c r="M37" s="21"/>
      <c r="N37" s="21"/>
      <c r="O37" s="21"/>
      <c r="P37" s="22"/>
    </row>
    <row r="38" spans="1:16" x14ac:dyDescent="0.25">
      <c r="A38" s="20"/>
      <c r="B38" s="21"/>
      <c r="C38" s="21"/>
      <c r="D38" s="21"/>
      <c r="E38" s="22"/>
      <c r="G38" s="20"/>
      <c r="H38" s="21"/>
      <c r="I38" s="21"/>
      <c r="J38" s="21"/>
      <c r="K38" s="21"/>
      <c r="L38" s="21"/>
      <c r="M38" s="21"/>
      <c r="N38" s="21"/>
      <c r="O38" s="21"/>
      <c r="P38" s="22"/>
    </row>
    <row r="39" spans="1:16" x14ac:dyDescent="0.25">
      <c r="A39" s="20"/>
      <c r="B39" s="21"/>
      <c r="C39" s="21"/>
      <c r="D39" s="21"/>
      <c r="E39" s="22"/>
      <c r="G39" s="20"/>
      <c r="H39" s="21"/>
      <c r="I39" s="21"/>
      <c r="J39" s="21"/>
      <c r="K39" s="21"/>
      <c r="L39" s="21"/>
      <c r="M39" s="21"/>
      <c r="N39" s="21"/>
      <c r="O39" s="21"/>
      <c r="P39" s="22"/>
    </row>
    <row r="40" spans="1:16" x14ac:dyDescent="0.25">
      <c r="A40" s="20"/>
      <c r="B40" s="21"/>
      <c r="C40" s="21"/>
      <c r="D40" s="21"/>
      <c r="E40" s="22"/>
      <c r="G40" s="20"/>
      <c r="I40" s="21"/>
      <c r="J40" s="21"/>
      <c r="K40" s="21"/>
      <c r="L40" s="21"/>
      <c r="M40" s="21"/>
      <c r="N40" s="21"/>
      <c r="O40" s="21"/>
      <c r="P40" s="22"/>
    </row>
    <row r="41" spans="1:16" x14ac:dyDescent="0.25">
      <c r="A41" s="20"/>
      <c r="B41" s="21"/>
      <c r="C41" s="21"/>
      <c r="D41" s="21"/>
      <c r="E41" s="22"/>
      <c r="G41" s="20"/>
      <c r="H41" s="21"/>
      <c r="I41" s="21"/>
      <c r="J41" s="21"/>
      <c r="K41" s="21"/>
      <c r="L41" s="21"/>
      <c r="M41" s="21"/>
      <c r="N41" s="21"/>
      <c r="O41" s="21"/>
      <c r="P41" s="22"/>
    </row>
    <row r="42" spans="1:16" x14ac:dyDescent="0.25">
      <c r="A42" s="20"/>
      <c r="B42" s="21"/>
      <c r="C42" s="21"/>
      <c r="D42" s="21"/>
      <c r="E42" s="22"/>
      <c r="G42" s="20"/>
      <c r="H42" s="21"/>
      <c r="I42" s="21"/>
      <c r="J42" s="21"/>
      <c r="K42" s="21"/>
      <c r="L42" s="21"/>
      <c r="M42" s="21"/>
      <c r="N42" s="21"/>
      <c r="O42" s="21"/>
      <c r="P42" s="22"/>
    </row>
    <row r="43" spans="1:16" x14ac:dyDescent="0.25">
      <c r="A43" s="20"/>
      <c r="B43" s="21"/>
      <c r="C43" s="21"/>
      <c r="D43" s="21"/>
      <c r="E43" s="22"/>
      <c r="G43" s="20"/>
      <c r="H43" s="21"/>
      <c r="I43" s="21"/>
      <c r="J43" s="21"/>
      <c r="K43" s="21"/>
      <c r="L43" s="21"/>
      <c r="M43" s="21"/>
      <c r="N43" s="21"/>
      <c r="O43" s="21"/>
      <c r="P43" s="22"/>
    </row>
    <row r="44" spans="1:16" x14ac:dyDescent="0.25">
      <c r="A44" s="20"/>
      <c r="B44" s="21"/>
      <c r="C44" s="21"/>
      <c r="D44" s="21"/>
      <c r="E44" s="22"/>
      <c r="G44" s="20"/>
      <c r="H44" s="21"/>
      <c r="I44" s="21"/>
      <c r="J44" s="21"/>
      <c r="K44" s="21"/>
      <c r="L44" s="21"/>
      <c r="M44" s="21"/>
      <c r="N44" s="21"/>
      <c r="O44" s="21"/>
      <c r="P44" s="22"/>
    </row>
    <row r="45" spans="1:16" x14ac:dyDescent="0.25">
      <c r="A45" s="20"/>
      <c r="B45" s="21"/>
      <c r="C45" s="21"/>
      <c r="D45" s="21"/>
      <c r="E45" s="22"/>
      <c r="G45" s="20"/>
      <c r="H45" s="21"/>
      <c r="I45" s="21"/>
      <c r="J45" s="21"/>
      <c r="K45" s="21"/>
      <c r="L45" s="21"/>
      <c r="M45" s="21"/>
      <c r="N45" s="21"/>
      <c r="O45" s="21"/>
      <c r="P45" s="22"/>
    </row>
    <row r="46" spans="1:16" ht="15.75" thickBot="1" x14ac:dyDescent="0.3">
      <c r="A46" s="20"/>
      <c r="B46" s="21"/>
      <c r="C46" s="21"/>
      <c r="D46" s="21"/>
      <c r="E46" s="22"/>
      <c r="G46" s="23"/>
      <c r="H46" s="24"/>
      <c r="I46" s="24"/>
      <c r="J46" s="24"/>
      <c r="K46" s="24"/>
      <c r="L46" s="24"/>
      <c r="M46" s="24"/>
      <c r="N46" s="24"/>
      <c r="O46" s="24"/>
      <c r="P46" s="25"/>
    </row>
    <row r="47" spans="1:16" x14ac:dyDescent="0.25">
      <c r="A47" s="20"/>
      <c r="B47" s="21"/>
      <c r="C47" s="21"/>
      <c r="D47" s="21"/>
      <c r="E47" s="22"/>
    </row>
    <row r="48" spans="1:16" x14ac:dyDescent="0.25">
      <c r="A48" s="20"/>
      <c r="B48" s="21"/>
      <c r="C48" s="21"/>
      <c r="D48" s="21"/>
      <c r="E48" s="22"/>
    </row>
    <row r="49" spans="1:5" x14ac:dyDescent="0.25">
      <c r="A49" s="20"/>
      <c r="B49" s="21"/>
      <c r="C49" s="21"/>
      <c r="D49" s="21"/>
      <c r="E49" s="22"/>
    </row>
    <row r="50" spans="1:5" x14ac:dyDescent="0.25">
      <c r="A50" s="20"/>
      <c r="B50" s="21"/>
      <c r="C50" s="21"/>
      <c r="D50" s="21"/>
      <c r="E50" s="22"/>
    </row>
    <row r="51" spans="1:5" x14ac:dyDescent="0.25">
      <c r="A51" s="20"/>
      <c r="B51" s="21"/>
      <c r="C51" s="21"/>
      <c r="D51" s="21"/>
      <c r="E51" s="22"/>
    </row>
    <row r="52" spans="1:5" x14ac:dyDescent="0.25">
      <c r="A52" s="20"/>
      <c r="B52" s="21"/>
      <c r="C52" s="21"/>
      <c r="D52" s="21"/>
      <c r="E52" s="22"/>
    </row>
    <row r="53" spans="1:5" x14ac:dyDescent="0.25">
      <c r="A53" s="20"/>
      <c r="B53" s="21"/>
      <c r="C53" s="21"/>
      <c r="D53" s="21"/>
      <c r="E53" s="22"/>
    </row>
    <row r="54" spans="1:5" x14ac:dyDescent="0.25">
      <c r="A54" s="20"/>
      <c r="B54" s="21"/>
      <c r="C54" s="21"/>
      <c r="D54" s="21"/>
      <c r="E54" s="22"/>
    </row>
    <row r="55" spans="1:5" x14ac:dyDescent="0.25">
      <c r="A55" s="20"/>
      <c r="B55" s="21"/>
      <c r="C55" s="21"/>
      <c r="D55" s="21"/>
      <c r="E55" s="22"/>
    </row>
    <row r="56" spans="1:5" x14ac:dyDescent="0.25">
      <c r="A56" s="20"/>
      <c r="B56" s="21"/>
      <c r="C56" s="21"/>
      <c r="D56" s="21"/>
      <c r="E56" s="22"/>
    </row>
    <row r="57" spans="1:5" x14ac:dyDescent="0.25">
      <c r="A57" s="20"/>
      <c r="B57" s="21"/>
      <c r="C57" s="21"/>
      <c r="D57" s="21"/>
      <c r="E57" s="22"/>
    </row>
    <row r="58" spans="1:5" x14ac:dyDescent="0.25">
      <c r="A58" s="20"/>
      <c r="B58" s="21"/>
      <c r="C58" s="21"/>
      <c r="D58" s="21"/>
      <c r="E58" s="22"/>
    </row>
    <row r="59" spans="1:5" x14ac:dyDescent="0.25">
      <c r="A59" s="20"/>
      <c r="B59" s="21"/>
      <c r="C59" s="21"/>
      <c r="D59" s="21"/>
      <c r="E59" s="22"/>
    </row>
    <row r="60" spans="1:5" x14ac:dyDescent="0.25">
      <c r="A60" s="20"/>
      <c r="B60" s="21"/>
      <c r="C60" s="21"/>
      <c r="D60" s="21"/>
      <c r="E60" s="22"/>
    </row>
    <row r="61" spans="1:5" x14ac:dyDescent="0.25">
      <c r="A61" s="20"/>
      <c r="B61" s="21"/>
      <c r="C61" s="21"/>
      <c r="D61" s="21"/>
      <c r="E61" s="22"/>
    </row>
    <row r="62" spans="1:5" x14ac:dyDescent="0.25">
      <c r="A62" s="20"/>
      <c r="B62" s="21"/>
      <c r="C62" s="21"/>
      <c r="D62" s="21"/>
      <c r="E62" s="22"/>
    </row>
    <row r="63" spans="1:5" x14ac:dyDescent="0.25">
      <c r="A63" s="20"/>
      <c r="B63" s="21"/>
      <c r="C63" s="21"/>
      <c r="D63" s="21"/>
      <c r="E63" s="22"/>
    </row>
    <row r="64" spans="1:5" x14ac:dyDescent="0.25">
      <c r="A64" s="20"/>
      <c r="B64" s="21"/>
      <c r="C64" s="21"/>
      <c r="D64" s="21"/>
      <c r="E64" s="22"/>
    </row>
    <row r="65" spans="1:5" x14ac:dyDescent="0.25">
      <c r="A65" s="20"/>
      <c r="B65" s="21"/>
      <c r="C65" s="21"/>
      <c r="D65" s="21"/>
      <c r="E65" s="22"/>
    </row>
    <row r="66" spans="1:5" x14ac:dyDescent="0.25">
      <c r="A66" s="20"/>
      <c r="B66" s="21"/>
      <c r="C66" s="21"/>
      <c r="D66" s="21"/>
      <c r="E66" s="22"/>
    </row>
    <row r="67" spans="1:5" x14ac:dyDescent="0.25">
      <c r="A67" s="20"/>
      <c r="B67" s="21"/>
      <c r="C67" s="21"/>
      <c r="D67" s="21"/>
      <c r="E67" s="22"/>
    </row>
    <row r="68" spans="1:5" x14ac:dyDescent="0.25">
      <c r="A68" s="20"/>
      <c r="B68" s="21"/>
      <c r="C68" s="21"/>
      <c r="D68" s="21"/>
      <c r="E68" s="22"/>
    </row>
    <row r="69" spans="1:5" x14ac:dyDescent="0.25">
      <c r="A69" s="20"/>
      <c r="B69" s="21"/>
      <c r="C69" s="21"/>
      <c r="D69" s="21"/>
      <c r="E69" s="22"/>
    </row>
    <row r="70" spans="1:5" x14ac:dyDescent="0.25">
      <c r="A70" s="20"/>
      <c r="B70" s="21"/>
      <c r="C70" s="21"/>
      <c r="D70" s="21"/>
      <c r="E70" s="22"/>
    </row>
    <row r="71" spans="1:5" x14ac:dyDescent="0.25">
      <c r="A71" s="20"/>
      <c r="B71" s="21"/>
      <c r="C71" s="21"/>
      <c r="D71" s="21"/>
      <c r="E71" s="22"/>
    </row>
    <row r="72" spans="1:5" ht="15.75" thickBot="1" x14ac:dyDescent="0.3">
      <c r="A72" s="23"/>
      <c r="B72" s="24"/>
      <c r="C72" s="24"/>
      <c r="D72" s="24"/>
      <c r="E72" s="25"/>
    </row>
  </sheetData>
  <mergeCells count="1">
    <mergeCell ref="B1: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Operaciones">
                <anchor moveWithCells="1" sizeWithCells="1">
                  <from>
                    <xdr:col>6</xdr:col>
                    <xdr:colOff>95250</xdr:colOff>
                    <xdr:row>3</xdr:row>
                    <xdr:rowOff>47625</xdr:rowOff>
                  </from>
                  <to>
                    <xdr:col>9</xdr:col>
                    <xdr:colOff>85725</xdr:colOff>
                    <xdr:row>5</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nvodeter">
                <anchor moveWithCells="1" sizeWithCells="1">
                  <from>
                    <xdr:col>6</xdr:col>
                    <xdr:colOff>57150</xdr:colOff>
                    <xdr:row>16</xdr:row>
                    <xdr:rowOff>171450</xdr:rowOff>
                  </from>
                  <to>
                    <xdr:col>9</xdr:col>
                    <xdr:colOff>47625</xdr:colOff>
                    <xdr:row>19</xdr:row>
                    <xdr:rowOff>9525</xdr:rowOff>
                  </to>
                </anchor>
              </controlPr>
            </control>
          </mc:Choice>
        </mc:AlternateContent>
        <mc:AlternateContent xmlns:mc="http://schemas.openxmlformats.org/markup-compatibility/2006">
          <mc:Choice Requires="x14">
            <control shapeId="1027" r:id="rId6" name="Button 3">
              <controlPr defaultSize="0" print="0" autoFill="0" autoPict="0" macro="[0]!Proyecciones">
                <anchor moveWithCells="1" sizeWithCells="1">
                  <from>
                    <xdr:col>1</xdr:col>
                    <xdr:colOff>28575</xdr:colOff>
                    <xdr:row>6</xdr:row>
                    <xdr:rowOff>9525</xdr:rowOff>
                  </from>
                  <to>
                    <xdr:col>4</xdr:col>
                    <xdr:colOff>19050</xdr:colOff>
                    <xdr:row>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_xludf.base">
                <anchor moveWithCells="1" sizeWithCells="1">
                  <from>
                    <xdr:col>6</xdr:col>
                    <xdr:colOff>85725</xdr:colOff>
                    <xdr:row>25</xdr:row>
                    <xdr:rowOff>9525</xdr:rowOff>
                  </from>
                  <to>
                    <xdr:col>9</xdr:col>
                    <xdr:colOff>38100</xdr:colOff>
                    <xdr:row>26</xdr:row>
                    <xdr:rowOff>180975</xdr:rowOff>
                  </to>
                </anchor>
              </controlPr>
            </control>
          </mc:Choice>
        </mc:AlternateContent>
        <mc:AlternateContent xmlns:mc="http://schemas.openxmlformats.org/markup-compatibility/2006">
          <mc:Choice Requires="x14">
            <control shapeId="1029" r:id="rId8" name="Button 5">
              <controlPr defaultSize="0" print="0" autoFill="0" autoPict="0" macro="[0]!cambio_de_base">
                <anchor moveWithCells="1" sizeWithCells="1">
                  <from>
                    <xdr:col>1</xdr:col>
                    <xdr:colOff>19050</xdr:colOff>
                    <xdr:row>9</xdr:row>
                    <xdr:rowOff>0</xdr:rowOff>
                  </from>
                  <to>
                    <xdr:col>4</xdr:col>
                    <xdr:colOff>47625</xdr:colOff>
                    <xdr:row>10</xdr:row>
                    <xdr:rowOff>180975</xdr:rowOff>
                  </to>
                </anchor>
              </controlPr>
            </control>
          </mc:Choice>
        </mc:AlternateContent>
        <mc:AlternateContent xmlns:mc="http://schemas.openxmlformats.org/markup-compatibility/2006">
          <mc:Choice Requires="x14">
            <control shapeId="1030" r:id="rId9" name="Button 6">
              <controlPr defaultSize="0" print="0" autoFill="0" autoPict="0" macro="[0]!trans_matrix">
                <anchor moveWithCells="1" sizeWithCells="1">
                  <from>
                    <xdr:col>1</xdr:col>
                    <xdr:colOff>0</xdr:colOff>
                    <xdr:row>11</xdr:row>
                    <xdr:rowOff>171450</xdr:rowOff>
                  </from>
                  <to>
                    <xdr:col>3</xdr:col>
                    <xdr:colOff>752475</xdr:colOff>
                    <xdr:row>14</xdr:row>
                    <xdr:rowOff>9525</xdr:rowOff>
                  </to>
                </anchor>
              </controlPr>
            </control>
          </mc:Choice>
        </mc:AlternateContent>
        <mc:AlternateContent xmlns:mc="http://schemas.openxmlformats.org/markup-compatibility/2006">
          <mc:Choice Requires="x14">
            <control shapeId="1031" r:id="rId10" name="Button 7">
              <controlPr defaultSize="0" print="0" autoFill="0" autoPict="0" macro="[0]!einstein">
                <anchor moveWithCells="1" sizeWithCells="1">
                  <from>
                    <xdr:col>1</xdr:col>
                    <xdr:colOff>47625</xdr:colOff>
                    <xdr:row>17</xdr:row>
                    <xdr:rowOff>180975</xdr:rowOff>
                  </from>
                  <to>
                    <xdr:col>3</xdr:col>
                    <xdr:colOff>742950</xdr:colOff>
                    <xdr:row>20</xdr:row>
                    <xdr:rowOff>152400</xdr:rowOff>
                  </to>
                </anchor>
              </controlPr>
            </control>
          </mc:Choice>
        </mc:AlternateContent>
        <mc:AlternateContent xmlns:mc="http://schemas.openxmlformats.org/markup-compatibility/2006">
          <mc:Choice Requires="x14">
            <control shapeId="1032" r:id="rId11" name="Button 8">
              <controlPr defaultSize="0" print="0" autoFill="0" autoPict="0">
                <anchor moveWithCells="1" sizeWithCells="1">
                  <from>
                    <xdr:col>1</xdr:col>
                    <xdr:colOff>19050</xdr:colOff>
                    <xdr:row>21</xdr:row>
                    <xdr:rowOff>180975</xdr:rowOff>
                  </from>
                  <to>
                    <xdr:col>3</xdr:col>
                    <xdr:colOff>752475</xdr:colOff>
                    <xdr:row>24</xdr:row>
                    <xdr:rowOff>104775</xdr:rowOff>
                  </to>
                </anchor>
              </controlPr>
            </control>
          </mc:Choice>
        </mc:AlternateContent>
        <mc:AlternateContent xmlns:mc="http://schemas.openxmlformats.org/markup-compatibility/2006">
          <mc:Choice Requires="x14">
            <control shapeId="1033" r:id="rId12" name="Button 9">
              <controlPr defaultSize="0" print="0" autoFill="0" autoPict="0" macro="[0]!inversa">
                <anchor moveWithCells="1" sizeWithCells="1">
                  <from>
                    <xdr:col>1</xdr:col>
                    <xdr:colOff>9525</xdr:colOff>
                    <xdr:row>15</xdr:row>
                    <xdr:rowOff>0</xdr:rowOff>
                  </from>
                  <to>
                    <xdr:col>3</xdr:col>
                    <xdr:colOff>723900</xdr:colOff>
                    <xdr:row>16</xdr:row>
                    <xdr:rowOff>171450</xdr:rowOff>
                  </to>
                </anchor>
              </controlPr>
            </control>
          </mc:Choice>
        </mc:AlternateContent>
        <mc:AlternateContent xmlns:mc="http://schemas.openxmlformats.org/markup-compatibility/2006">
          <mc:Choice Requires="x14">
            <control shapeId="1034" r:id="rId13" name="Button 10">
              <controlPr defaultSize="0" print="0" autoFill="0" autoPict="0" macro="[0]!intro_op">
                <anchor moveWithCells="1" sizeWithCells="1">
                  <from>
                    <xdr:col>1</xdr:col>
                    <xdr:colOff>28575</xdr:colOff>
                    <xdr:row>3</xdr:row>
                    <xdr:rowOff>9525</xdr:rowOff>
                  </from>
                  <to>
                    <xdr:col>4</xdr:col>
                    <xdr:colOff>0</xdr:colOff>
                    <xdr:row>5</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EA4EA-255A-4CCB-8A84-A4DEE22C12AA}">
  <sheetPr codeName="Hoja9"/>
  <dimension ref="A1:G43"/>
  <sheetViews>
    <sheetView topLeftCell="A10" workbookViewId="0">
      <selection activeCell="G11" sqref="G11"/>
    </sheetView>
  </sheetViews>
  <sheetFormatPr baseColWidth="10" defaultRowHeight="15" x14ac:dyDescent="0.25"/>
  <sheetData>
    <row r="1" spans="1:7" x14ac:dyDescent="0.25">
      <c r="A1" t="s">
        <v>129</v>
      </c>
    </row>
    <row r="2" spans="1:7" x14ac:dyDescent="0.25">
      <c r="A2" t="s">
        <v>127</v>
      </c>
    </row>
    <row r="3" spans="1:7" x14ac:dyDescent="0.25">
      <c r="A3" t="s">
        <v>128</v>
      </c>
    </row>
    <row r="4" spans="1:7" ht="42.75" customHeight="1" x14ac:dyDescent="0.25">
      <c r="A4" s="51" t="s">
        <v>144</v>
      </c>
      <c r="B4" s="51"/>
      <c r="C4" s="51"/>
    </row>
    <row r="5" spans="1:7" x14ac:dyDescent="0.25">
      <c r="A5" t="s">
        <v>130</v>
      </c>
    </row>
    <row r="6" spans="1:7" ht="158.25" customHeight="1" x14ac:dyDescent="0.25">
      <c r="A6" s="51" t="s">
        <v>131</v>
      </c>
      <c r="B6" s="51"/>
      <c r="C6" s="51"/>
      <c r="D6" s="51"/>
      <c r="E6" s="51"/>
    </row>
    <row r="7" spans="1:7" x14ac:dyDescent="0.25">
      <c r="A7" s="12" t="s">
        <v>132</v>
      </c>
      <c r="B7" s="12"/>
      <c r="C7" s="12"/>
      <c r="D7" s="12"/>
      <c r="E7" s="12"/>
    </row>
    <row r="8" spans="1:7" x14ac:dyDescent="0.25">
      <c r="A8" s="12" t="s">
        <v>137</v>
      </c>
    </row>
    <row r="14" spans="1:7" x14ac:dyDescent="0.25">
      <c r="A14" t="s">
        <v>133</v>
      </c>
      <c r="G14" t="s">
        <v>134</v>
      </c>
    </row>
    <row r="37" spans="1:1" x14ac:dyDescent="0.25">
      <c r="A37" t="s">
        <v>135</v>
      </c>
    </row>
    <row r="43" spans="1:1" x14ac:dyDescent="0.25">
      <c r="A43" t="s">
        <v>136</v>
      </c>
    </row>
  </sheetData>
  <mergeCells count="2">
    <mergeCell ref="A4:C4"/>
    <mergeCell ref="A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Operaciones">
                <anchor moveWithCells="1" sizeWithCells="1">
                  <from>
                    <xdr:col>0</xdr:col>
                    <xdr:colOff>323850</xdr:colOff>
                    <xdr:row>8</xdr:row>
                    <xdr:rowOff>152400</xdr:rowOff>
                  </from>
                  <to>
                    <xdr:col>3</xdr:col>
                    <xdr:colOff>314325</xdr:colOff>
                    <xdr:row>11</xdr:row>
                    <xdr:rowOff>171450</xdr:rowOff>
                  </to>
                </anchor>
              </controlPr>
            </control>
          </mc:Choice>
        </mc:AlternateContent>
        <mc:AlternateContent xmlns:mc="http://schemas.openxmlformats.org/markup-compatibility/2006">
          <mc:Choice Requires="x14">
            <control shapeId="12294" r:id="rId4" name="Button 6">
              <controlPr defaultSize="0" print="0" autoFill="0" autoPict="0" macro="[0]!Invodeter">
                <anchor moveWithCells="1" sizeWithCells="1">
                  <from>
                    <xdr:col>0</xdr:col>
                    <xdr:colOff>257175</xdr:colOff>
                    <xdr:row>37</xdr:row>
                    <xdr:rowOff>171450</xdr:rowOff>
                  </from>
                  <to>
                    <xdr:col>3</xdr:col>
                    <xdr:colOff>247650</xdr:colOff>
                    <xdr:row>40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CFD86-F666-4B71-9F14-3B0D247E6E7A}">
  <sheetPr codeName="Hoja2"/>
  <dimension ref="A1:B15"/>
  <sheetViews>
    <sheetView topLeftCell="A4" workbookViewId="0">
      <selection activeCell="F24" sqref="F24"/>
    </sheetView>
  </sheetViews>
  <sheetFormatPr baseColWidth="10" defaultRowHeight="15" x14ac:dyDescent="0.25"/>
  <sheetData>
    <row r="1" spans="1:2" x14ac:dyDescent="0.25">
      <c r="A1" t="s">
        <v>7</v>
      </c>
    </row>
    <row r="9" spans="1:2" x14ac:dyDescent="0.25">
      <c r="A9" t="s">
        <v>0</v>
      </c>
    </row>
    <row r="10" spans="1:2" x14ac:dyDescent="0.25">
      <c r="A10">
        <v>0</v>
      </c>
      <c r="B10" t="s">
        <v>1</v>
      </c>
    </row>
    <row r="11" spans="1:2" x14ac:dyDescent="0.25">
      <c r="A11">
        <v>-1</v>
      </c>
      <c r="B11" t="s">
        <v>2</v>
      </c>
    </row>
    <row r="12" spans="1:2" x14ac:dyDescent="0.25">
      <c r="A12">
        <v>1</v>
      </c>
      <c r="B12" t="s">
        <v>3</v>
      </c>
    </row>
    <row r="15" spans="1:2" x14ac:dyDescent="0.25">
      <c r="A15" t="s">
        <v>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24975-A9AE-4724-9687-87FDCE244607}">
  <sheetPr codeName="Hoja4"/>
  <dimension ref="A2:I58"/>
  <sheetViews>
    <sheetView topLeftCell="A61" workbookViewId="0">
      <selection activeCell="F47" sqref="F47"/>
    </sheetView>
  </sheetViews>
  <sheetFormatPr baseColWidth="10" defaultRowHeight="15" x14ac:dyDescent="0.25"/>
  <cols>
    <col min="1" max="1" width="81.85546875" bestFit="1" customWidth="1"/>
  </cols>
  <sheetData>
    <row r="2" spans="1:5" x14ac:dyDescent="0.25">
      <c r="A2" t="s">
        <v>8</v>
      </c>
    </row>
    <row r="3" spans="1:5" x14ac:dyDescent="0.25">
      <c r="A3" t="s">
        <v>22</v>
      </c>
      <c r="B3" t="s">
        <v>11</v>
      </c>
    </row>
    <row r="4" spans="1:5" x14ac:dyDescent="0.25">
      <c r="B4" s="3">
        <v>3</v>
      </c>
    </row>
    <row r="5" spans="1:5" x14ac:dyDescent="0.25">
      <c r="B5" s="3">
        <v>4</v>
      </c>
    </row>
    <row r="6" spans="1:5" x14ac:dyDescent="0.25">
      <c r="A6" t="s">
        <v>25</v>
      </c>
    </row>
    <row r="7" spans="1:5" x14ac:dyDescent="0.25">
      <c r="A7" t="s">
        <v>39</v>
      </c>
    </row>
    <row r="8" spans="1:5" x14ac:dyDescent="0.25">
      <c r="A8" t="s">
        <v>9</v>
      </c>
    </row>
    <row r="9" spans="1:5" x14ac:dyDescent="0.25">
      <c r="A9" t="s">
        <v>10</v>
      </c>
    </row>
    <row r="10" spans="1:5" x14ac:dyDescent="0.25">
      <c r="A10" t="s">
        <v>13</v>
      </c>
      <c r="C10" t="s">
        <v>11</v>
      </c>
    </row>
    <row r="11" spans="1:5" x14ac:dyDescent="0.25">
      <c r="A11">
        <f>B11*E12+C11*E13</f>
        <v>11</v>
      </c>
      <c r="B11">
        <v>1</v>
      </c>
      <c r="C11">
        <v>2</v>
      </c>
      <c r="E11" t="s">
        <v>12</v>
      </c>
    </row>
    <row r="12" spans="1:5" x14ac:dyDescent="0.25">
      <c r="A12" t="s">
        <v>14</v>
      </c>
      <c r="E12">
        <v>3</v>
      </c>
    </row>
    <row r="13" spans="1:5" x14ac:dyDescent="0.25">
      <c r="A13" t="e">
        <f>SUMPRODUCT(B11:C11,E12:E13)</f>
        <v>#VALUE!</v>
      </c>
      <c r="E13">
        <v>4</v>
      </c>
    </row>
    <row r="14" spans="1:5" x14ac:dyDescent="0.25">
      <c r="A14" t="s">
        <v>17</v>
      </c>
      <c r="B14" t="s">
        <v>11</v>
      </c>
      <c r="C14" t="s">
        <v>12</v>
      </c>
    </row>
    <row r="15" spans="1:5" x14ac:dyDescent="0.25">
      <c r="A15" s="2">
        <f>SUMPRODUCT(B15:B16,C15:C16)</f>
        <v>11</v>
      </c>
      <c r="B15">
        <v>1</v>
      </c>
      <c r="C15">
        <v>3</v>
      </c>
    </row>
    <row r="16" spans="1:5" x14ac:dyDescent="0.25">
      <c r="B16">
        <v>2</v>
      </c>
      <c r="C16">
        <v>4</v>
      </c>
    </row>
    <row r="18" spans="1:9" x14ac:dyDescent="0.25">
      <c r="A18" t="s">
        <v>15</v>
      </c>
    </row>
    <row r="19" spans="1:9" x14ac:dyDescent="0.25">
      <c r="A19" t="s">
        <v>20</v>
      </c>
      <c r="B19" t="s">
        <v>18</v>
      </c>
    </row>
    <row r="20" spans="1:9" x14ac:dyDescent="0.25">
      <c r="A20" t="s">
        <v>16</v>
      </c>
      <c r="B20">
        <v>1</v>
      </c>
      <c r="C20">
        <v>0</v>
      </c>
    </row>
    <row r="21" spans="1:9" x14ac:dyDescent="0.25">
      <c r="A21">
        <f>SUMPRODUCT(B20:B21,C20:C21)</f>
        <v>0</v>
      </c>
      <c r="B21">
        <v>0</v>
      </c>
      <c r="C21">
        <v>1</v>
      </c>
      <c r="F21" t="s">
        <v>42</v>
      </c>
    </row>
    <row r="22" spans="1:9" x14ac:dyDescent="0.25">
      <c r="A22" t="s">
        <v>21</v>
      </c>
      <c r="B22" t="s">
        <v>19</v>
      </c>
      <c r="G22" t="s">
        <v>5</v>
      </c>
      <c r="H22" t="s">
        <v>6</v>
      </c>
      <c r="I22" t="s">
        <v>44</v>
      </c>
    </row>
    <row r="23" spans="1:9" x14ac:dyDescent="0.25">
      <c r="B23">
        <v>1</v>
      </c>
      <c r="C23">
        <v>0</v>
      </c>
      <c r="D23">
        <v>0</v>
      </c>
      <c r="F23" t="s">
        <v>43</v>
      </c>
      <c r="G23">
        <f>SUMPRODUCT($B$23:$B$25,B23:B25)</f>
        <v>1</v>
      </c>
      <c r="H23">
        <f t="shared" ref="H23:I23" si="0">SUMPRODUCT($B$23:$B$25,C23:C25)</f>
        <v>0</v>
      </c>
      <c r="I23">
        <f t="shared" si="0"/>
        <v>0</v>
      </c>
    </row>
    <row r="24" spans="1:9" x14ac:dyDescent="0.25">
      <c r="B24">
        <v>0</v>
      </c>
      <c r="C24">
        <v>1</v>
      </c>
      <c r="D24">
        <v>0</v>
      </c>
      <c r="F24" t="s">
        <v>6</v>
      </c>
      <c r="G24">
        <f>SUMPRODUCT($C$23:$C$25,B23:B25)</f>
        <v>0</v>
      </c>
      <c r="H24">
        <f>SUMPRODUCT($C$23:$C$25,C23:C25)</f>
        <v>1</v>
      </c>
      <c r="I24">
        <f t="shared" ref="I24" si="1">SUMPRODUCT($C$23:$C$25,D23:D25)</f>
        <v>0</v>
      </c>
    </row>
    <row r="25" spans="1:9" x14ac:dyDescent="0.25">
      <c r="B25">
        <v>0</v>
      </c>
      <c r="C25">
        <v>0</v>
      </c>
      <c r="D25">
        <v>1</v>
      </c>
      <c r="F25" t="s">
        <v>44</v>
      </c>
      <c r="G25">
        <f>SUMPRODUCT($D$23:$D$25,B23:B25)</f>
        <v>0</v>
      </c>
      <c r="H25">
        <f t="shared" ref="H25:I25" si="2">SUMPRODUCT($D$23:$D$25,C23:C25)</f>
        <v>0</v>
      </c>
      <c r="I25">
        <f t="shared" si="2"/>
        <v>1</v>
      </c>
    </row>
    <row r="26" spans="1:9" x14ac:dyDescent="0.25">
      <c r="A26" t="s">
        <v>40</v>
      </c>
    </row>
    <row r="27" spans="1:9" x14ac:dyDescent="0.25">
      <c r="B27" t="s">
        <v>41</v>
      </c>
    </row>
    <row r="28" spans="1:9" x14ac:dyDescent="0.25">
      <c r="B28">
        <v>1</v>
      </c>
      <c r="C28">
        <v>0</v>
      </c>
      <c r="D28">
        <v>0</v>
      </c>
      <c r="E28">
        <v>0</v>
      </c>
    </row>
    <row r="29" spans="1:9" x14ac:dyDescent="0.25">
      <c r="B29">
        <v>0</v>
      </c>
      <c r="C29">
        <v>1</v>
      </c>
      <c r="D29">
        <v>0</v>
      </c>
      <c r="E29">
        <v>0</v>
      </c>
    </row>
    <row r="30" spans="1:9" x14ac:dyDescent="0.25">
      <c r="B30">
        <v>0</v>
      </c>
      <c r="C30">
        <v>0</v>
      </c>
      <c r="D30">
        <v>1</v>
      </c>
      <c r="E30">
        <v>0</v>
      </c>
    </row>
    <row r="31" spans="1:9" x14ac:dyDescent="0.25">
      <c r="B31">
        <v>0</v>
      </c>
      <c r="C31">
        <v>0</v>
      </c>
      <c r="D31">
        <v>0</v>
      </c>
      <c r="E31">
        <v>1</v>
      </c>
    </row>
    <row r="34" spans="1:4" x14ac:dyDescent="0.25">
      <c r="A34" t="s">
        <v>23</v>
      </c>
    </row>
    <row r="35" spans="1:4" x14ac:dyDescent="0.25">
      <c r="A35" t="s">
        <v>24</v>
      </c>
    </row>
    <row r="37" spans="1:4" x14ac:dyDescent="0.25">
      <c r="A37" t="s">
        <v>26</v>
      </c>
      <c r="B37" t="s">
        <v>5</v>
      </c>
      <c r="C37" t="s">
        <v>6</v>
      </c>
      <c r="D37" t="s">
        <v>22</v>
      </c>
    </row>
    <row r="38" spans="1:4" x14ac:dyDescent="0.25">
      <c r="A38" t="s">
        <v>27</v>
      </c>
      <c r="B38">
        <v>2</v>
      </c>
      <c r="C38">
        <v>-2</v>
      </c>
      <c r="D38">
        <v>3</v>
      </c>
    </row>
    <row r="39" spans="1:4" x14ac:dyDescent="0.25">
      <c r="A39">
        <f>SUMPRODUCT(B38:B39,C38:C39)</f>
        <v>0</v>
      </c>
      <c r="B39">
        <v>1</v>
      </c>
      <c r="C39">
        <v>4</v>
      </c>
      <c r="D39">
        <v>4</v>
      </c>
    </row>
    <row r="40" spans="1:4" x14ac:dyDescent="0.25">
      <c r="A40" t="s">
        <v>28</v>
      </c>
    </row>
    <row r="41" spans="1:4" x14ac:dyDescent="0.25">
      <c r="A41" t="s">
        <v>29</v>
      </c>
      <c r="B41" s="4">
        <f>Proy(D38:D39,B38:B39)</f>
        <v>2</v>
      </c>
    </row>
    <row r="42" spans="1:4" x14ac:dyDescent="0.25">
      <c r="A42" t="s">
        <v>30</v>
      </c>
      <c r="B42" s="4">
        <f>Proy(D38:D39,C38:C39)</f>
        <v>0.5</v>
      </c>
    </row>
    <row r="44" spans="1:4" x14ac:dyDescent="0.25">
      <c r="A44" t="s">
        <v>31</v>
      </c>
      <c r="B44" t="s">
        <v>32</v>
      </c>
      <c r="C44" t="s">
        <v>33</v>
      </c>
    </row>
    <row r="45" spans="1:4" x14ac:dyDescent="0.25">
      <c r="B45">
        <f>$B$41*B38</f>
        <v>4</v>
      </c>
      <c r="C45">
        <f>$B$42*C38</f>
        <v>-1</v>
      </c>
    </row>
    <row r="46" spans="1:4" x14ac:dyDescent="0.25">
      <c r="B46">
        <f>$B$41*B39</f>
        <v>2</v>
      </c>
      <c r="C46">
        <f>$B$42*C39</f>
        <v>2</v>
      </c>
    </row>
    <row r="48" spans="1:4" x14ac:dyDescent="0.25">
      <c r="A48" t="s">
        <v>34</v>
      </c>
    </row>
    <row r="49" spans="1:3" x14ac:dyDescent="0.25">
      <c r="A49" t="s">
        <v>35</v>
      </c>
      <c r="B49" s="3">
        <f>B45+C45</f>
        <v>3</v>
      </c>
    </row>
    <row r="50" spans="1:3" x14ac:dyDescent="0.25">
      <c r="B50" s="3">
        <f>B46+C46</f>
        <v>4</v>
      </c>
    </row>
    <row r="52" spans="1:3" x14ac:dyDescent="0.25">
      <c r="A52" t="s">
        <v>36</v>
      </c>
    </row>
    <row r="53" spans="1:3" x14ac:dyDescent="0.25">
      <c r="A53" t="s">
        <v>37</v>
      </c>
      <c r="B53" t="s">
        <v>5</v>
      </c>
      <c r="C53" t="s">
        <v>6</v>
      </c>
    </row>
    <row r="54" spans="1:3" x14ac:dyDescent="0.25">
      <c r="B54">
        <v>2</v>
      </c>
      <c r="C54">
        <v>-2</v>
      </c>
    </row>
    <row r="55" spans="1:3" x14ac:dyDescent="0.25">
      <c r="B55">
        <v>1</v>
      </c>
      <c r="C55">
        <v>4</v>
      </c>
    </row>
    <row r="57" spans="1:3" x14ac:dyDescent="0.25">
      <c r="A57" t="s">
        <v>38</v>
      </c>
      <c r="B57" s="4">
        <f>B41</f>
        <v>2</v>
      </c>
    </row>
    <row r="58" spans="1:3" x14ac:dyDescent="0.25">
      <c r="B58" s="4">
        <f>B42</f>
        <v>0.5</v>
      </c>
    </row>
  </sheetData>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7AE40-56E2-4FCE-A16A-B0243C3C24BC}">
  <sheetPr codeName="Hoja5"/>
  <dimension ref="B2:J74"/>
  <sheetViews>
    <sheetView topLeftCell="A25" zoomScale="85" zoomScaleNormal="85" workbookViewId="0">
      <selection activeCell="N48" sqref="N48"/>
    </sheetView>
  </sheetViews>
  <sheetFormatPr baseColWidth="10" defaultRowHeight="15" x14ac:dyDescent="0.25"/>
  <sheetData>
    <row r="2" spans="2:10" ht="105.75" customHeight="1" x14ac:dyDescent="0.25">
      <c r="B2" s="52" t="s">
        <v>45</v>
      </c>
      <c r="C2" s="52"/>
      <c r="D2" s="52"/>
    </row>
    <row r="4" spans="2:10" x14ac:dyDescent="0.25">
      <c r="B4" t="s">
        <v>46</v>
      </c>
      <c r="E4" t="s">
        <v>47</v>
      </c>
      <c r="G4" t="s">
        <v>48</v>
      </c>
      <c r="J4" t="s">
        <v>49</v>
      </c>
    </row>
    <row r="5" spans="2:10" x14ac:dyDescent="0.25">
      <c r="B5">
        <v>1</v>
      </c>
      <c r="C5">
        <v>0</v>
      </c>
      <c r="E5">
        <v>3</v>
      </c>
      <c r="G5" s="5">
        <v>3</v>
      </c>
    </row>
    <row r="6" spans="2:10" x14ac:dyDescent="0.25">
      <c r="B6">
        <v>0</v>
      </c>
      <c r="C6">
        <v>1</v>
      </c>
      <c r="E6">
        <v>4</v>
      </c>
      <c r="G6" s="5">
        <v>4</v>
      </c>
    </row>
    <row r="8" spans="2:10" x14ac:dyDescent="0.25">
      <c r="B8" t="s">
        <v>50</v>
      </c>
      <c r="E8" t="s">
        <v>47</v>
      </c>
      <c r="G8" t="s">
        <v>48</v>
      </c>
    </row>
    <row r="9" spans="2:10" x14ac:dyDescent="0.25">
      <c r="B9">
        <v>3</v>
      </c>
      <c r="C9">
        <v>0</v>
      </c>
      <c r="E9">
        <v>3</v>
      </c>
      <c r="G9" s="5">
        <v>9</v>
      </c>
      <c r="H9" t="s">
        <v>51</v>
      </c>
    </row>
    <row r="10" spans="2:10" x14ac:dyDescent="0.25">
      <c r="B10">
        <v>0</v>
      </c>
      <c r="C10">
        <v>2</v>
      </c>
      <c r="E10">
        <v>4</v>
      </c>
      <c r="G10" s="5">
        <v>8</v>
      </c>
      <c r="H10" t="s">
        <v>52</v>
      </c>
    </row>
    <row r="12" spans="2:10" x14ac:dyDescent="0.25">
      <c r="B12" t="s">
        <v>53</v>
      </c>
      <c r="E12" t="s">
        <v>47</v>
      </c>
      <c r="G12" t="s">
        <v>48</v>
      </c>
    </row>
    <row r="13" spans="2:10" x14ac:dyDescent="0.25">
      <c r="B13" s="6">
        <f>1/3</f>
        <v>0.33333333333333331</v>
      </c>
      <c r="C13" s="6">
        <v>0</v>
      </c>
      <c r="E13">
        <v>3</v>
      </c>
      <c r="G13" s="5">
        <v>1</v>
      </c>
      <c r="H13" t="s">
        <v>54</v>
      </c>
    </row>
    <row r="14" spans="2:10" x14ac:dyDescent="0.25">
      <c r="B14" s="6">
        <v>0</v>
      </c>
      <c r="C14" s="6">
        <f>1/2</f>
        <v>0.5</v>
      </c>
      <c r="E14">
        <v>4</v>
      </c>
      <c r="G14" s="5">
        <v>2</v>
      </c>
      <c r="H14" t="s">
        <v>55</v>
      </c>
    </row>
    <row r="16" spans="2:10" x14ac:dyDescent="0.25">
      <c r="B16" t="s">
        <v>56</v>
      </c>
      <c r="E16" t="s">
        <v>47</v>
      </c>
      <c r="G16" t="s">
        <v>48</v>
      </c>
    </row>
    <row r="17" spans="2:8" x14ac:dyDescent="0.25">
      <c r="B17">
        <v>-1</v>
      </c>
      <c r="C17">
        <v>0</v>
      </c>
      <c r="E17">
        <v>3</v>
      </c>
      <c r="G17" s="5">
        <v>-3</v>
      </c>
    </row>
    <row r="18" spans="2:8" x14ac:dyDescent="0.25">
      <c r="B18">
        <v>0</v>
      </c>
      <c r="C18">
        <v>1</v>
      </c>
      <c r="E18">
        <v>4</v>
      </c>
      <c r="G18" s="5">
        <v>4</v>
      </c>
    </row>
    <row r="20" spans="2:8" x14ac:dyDescent="0.25">
      <c r="B20" t="s">
        <v>57</v>
      </c>
      <c r="E20" t="s">
        <v>47</v>
      </c>
      <c r="G20" t="s">
        <v>48</v>
      </c>
    </row>
    <row r="21" spans="2:8" x14ac:dyDescent="0.25">
      <c r="B21">
        <v>1</v>
      </c>
      <c r="C21">
        <v>0</v>
      </c>
      <c r="E21">
        <v>3</v>
      </c>
      <c r="G21">
        <v>3</v>
      </c>
    </row>
    <row r="22" spans="2:8" x14ac:dyDescent="0.25">
      <c r="B22">
        <v>0</v>
      </c>
      <c r="C22">
        <v>-1</v>
      </c>
      <c r="E22">
        <v>4</v>
      </c>
      <c r="G22">
        <v>-4</v>
      </c>
    </row>
    <row r="24" spans="2:8" x14ac:dyDescent="0.25">
      <c r="B24" t="s">
        <v>58</v>
      </c>
      <c r="E24" t="s">
        <v>47</v>
      </c>
      <c r="G24" t="s">
        <v>48</v>
      </c>
    </row>
    <row r="25" spans="2:8" x14ac:dyDescent="0.25">
      <c r="B25">
        <v>-1</v>
      </c>
      <c r="C25">
        <v>0</v>
      </c>
      <c r="E25">
        <v>3</v>
      </c>
      <c r="G25" s="5">
        <v>-3</v>
      </c>
    </row>
    <row r="26" spans="2:8" x14ac:dyDescent="0.25">
      <c r="B26">
        <v>0</v>
      </c>
      <c r="C26">
        <v>-1</v>
      </c>
      <c r="E26">
        <v>4</v>
      </c>
      <c r="G26" s="5">
        <v>-4</v>
      </c>
    </row>
    <row r="27" spans="2:8" x14ac:dyDescent="0.25">
      <c r="G27" s="5"/>
    </row>
    <row r="28" spans="2:8" ht="21" customHeight="1" x14ac:dyDescent="0.25">
      <c r="B28" t="s">
        <v>64</v>
      </c>
    </row>
    <row r="29" spans="2:8" ht="81" customHeight="1" x14ac:dyDescent="0.25">
      <c r="B29" s="51" t="s">
        <v>59</v>
      </c>
      <c r="C29" s="51"/>
      <c r="E29" t="s">
        <v>47</v>
      </c>
      <c r="G29" t="s">
        <v>48</v>
      </c>
    </row>
    <row r="30" spans="2:8" x14ac:dyDescent="0.25">
      <c r="B30">
        <v>0</v>
      </c>
      <c r="C30">
        <v>1</v>
      </c>
      <c r="E30">
        <v>3</v>
      </c>
      <c r="G30" s="5">
        <v>4</v>
      </c>
      <c r="H30" t="s">
        <v>60</v>
      </c>
    </row>
    <row r="31" spans="2:8" x14ac:dyDescent="0.25">
      <c r="B31">
        <v>1</v>
      </c>
      <c r="C31">
        <v>0</v>
      </c>
      <c r="E31">
        <v>4</v>
      </c>
      <c r="G31" s="5">
        <v>3</v>
      </c>
      <c r="H31" t="s">
        <v>61</v>
      </c>
    </row>
    <row r="34" spans="2:7" x14ac:dyDescent="0.25">
      <c r="B34" t="s">
        <v>62</v>
      </c>
      <c r="E34" t="s">
        <v>47</v>
      </c>
      <c r="G34" t="s">
        <v>48</v>
      </c>
    </row>
    <row r="35" spans="2:7" x14ac:dyDescent="0.25">
      <c r="B35">
        <v>0</v>
      </c>
      <c r="C35">
        <v>-1</v>
      </c>
      <c r="E35">
        <v>3</v>
      </c>
      <c r="G35" s="5">
        <v>-4</v>
      </c>
    </row>
    <row r="36" spans="2:7" x14ac:dyDescent="0.25">
      <c r="B36">
        <v>-1</v>
      </c>
      <c r="C36">
        <v>0</v>
      </c>
      <c r="E36">
        <v>4</v>
      </c>
      <c r="G36" s="5">
        <v>-3</v>
      </c>
    </row>
    <row r="38" spans="2:7" x14ac:dyDescent="0.25">
      <c r="B38" t="s">
        <v>63</v>
      </c>
      <c r="E38" t="s">
        <v>47</v>
      </c>
      <c r="G38" t="s">
        <v>48</v>
      </c>
    </row>
    <row r="39" spans="2:7" x14ac:dyDescent="0.25">
      <c r="B39">
        <v>1</v>
      </c>
      <c r="C39">
        <v>0</v>
      </c>
      <c r="E39">
        <v>3</v>
      </c>
      <c r="G39" s="5">
        <v>3</v>
      </c>
    </row>
    <row r="40" spans="2:7" x14ac:dyDescent="0.25">
      <c r="B40">
        <v>0</v>
      </c>
      <c r="C40">
        <v>-1</v>
      </c>
      <c r="E40">
        <v>4</v>
      </c>
      <c r="G40" s="5">
        <v>-4</v>
      </c>
    </row>
    <row r="43" spans="2:7" x14ac:dyDescent="0.25">
      <c r="B43" t="s">
        <v>65</v>
      </c>
      <c r="E43" t="s">
        <v>47</v>
      </c>
      <c r="G43" t="s">
        <v>48</v>
      </c>
    </row>
    <row r="44" spans="2:7" x14ac:dyDescent="0.25">
      <c r="B44">
        <v>1</v>
      </c>
      <c r="C44">
        <v>1</v>
      </c>
      <c r="E44">
        <v>3</v>
      </c>
      <c r="G44" s="5">
        <v>7</v>
      </c>
    </row>
    <row r="45" spans="2:7" x14ac:dyDescent="0.25">
      <c r="B45">
        <v>0</v>
      </c>
      <c r="C45">
        <v>1</v>
      </c>
      <c r="E45">
        <v>4</v>
      </c>
      <c r="G45" s="5">
        <v>4</v>
      </c>
    </row>
    <row r="47" spans="2:7" x14ac:dyDescent="0.25">
      <c r="B47" t="s">
        <v>66</v>
      </c>
    </row>
    <row r="49" spans="2:5" x14ac:dyDescent="0.25">
      <c r="B49" t="s">
        <v>67</v>
      </c>
    </row>
    <row r="51" spans="2:5" x14ac:dyDescent="0.25">
      <c r="B51" t="s">
        <v>68</v>
      </c>
      <c r="E51" t="s">
        <v>47</v>
      </c>
    </row>
    <row r="52" spans="2:5" x14ac:dyDescent="0.25">
      <c r="B52" t="s">
        <v>50</v>
      </c>
      <c r="E52">
        <v>3</v>
      </c>
    </row>
    <row r="53" spans="2:5" x14ac:dyDescent="0.25">
      <c r="B53">
        <v>3</v>
      </c>
      <c r="C53">
        <v>0</v>
      </c>
      <c r="E53">
        <v>4</v>
      </c>
    </row>
    <row r="54" spans="2:5" x14ac:dyDescent="0.25">
      <c r="B54">
        <v>0</v>
      </c>
      <c r="C54">
        <v>2</v>
      </c>
    </row>
    <row r="56" spans="2:5" x14ac:dyDescent="0.25">
      <c r="B56" t="s">
        <v>69</v>
      </c>
    </row>
    <row r="57" spans="2:5" x14ac:dyDescent="0.25">
      <c r="B57" t="s">
        <v>62</v>
      </c>
    </row>
    <row r="58" spans="2:5" x14ac:dyDescent="0.25">
      <c r="B58">
        <v>0</v>
      </c>
      <c r="C58">
        <v>-1</v>
      </c>
    </row>
    <row r="59" spans="2:5" x14ac:dyDescent="0.25">
      <c r="B59">
        <v>-1</v>
      </c>
      <c r="C59">
        <v>0</v>
      </c>
    </row>
    <row r="63" spans="2:5" x14ac:dyDescent="0.25">
      <c r="B63" t="s">
        <v>70</v>
      </c>
    </row>
    <row r="64" spans="2:5" x14ac:dyDescent="0.25">
      <c r="B64" t="s">
        <v>71</v>
      </c>
    </row>
    <row r="65" spans="2:8" x14ac:dyDescent="0.25">
      <c r="B65" t="s">
        <v>72</v>
      </c>
    </row>
    <row r="67" spans="2:8" x14ac:dyDescent="0.25">
      <c r="B67" t="s">
        <v>75</v>
      </c>
    </row>
    <row r="68" spans="2:8" x14ac:dyDescent="0.25">
      <c r="B68" t="s">
        <v>73</v>
      </c>
    </row>
    <row r="69" spans="2:8" x14ac:dyDescent="0.25">
      <c r="B69" t="s">
        <v>74</v>
      </c>
    </row>
    <row r="71" spans="2:8" x14ac:dyDescent="0.25">
      <c r="B71" t="s">
        <v>68</v>
      </c>
    </row>
    <row r="72" spans="2:8" x14ac:dyDescent="0.25">
      <c r="B72" t="s">
        <v>50</v>
      </c>
      <c r="E72" t="s">
        <v>47</v>
      </c>
      <c r="H72" t="s">
        <v>76</v>
      </c>
    </row>
    <row r="73" spans="2:8" x14ac:dyDescent="0.25">
      <c r="B73">
        <v>3</v>
      </c>
      <c r="C73">
        <v>0</v>
      </c>
      <c r="E73">
        <v>3</v>
      </c>
      <c r="H73" s="5">
        <v>9</v>
      </c>
    </row>
    <row r="74" spans="2:8" x14ac:dyDescent="0.25">
      <c r="B74">
        <v>0</v>
      </c>
      <c r="C74">
        <v>2</v>
      </c>
      <c r="E74">
        <v>4</v>
      </c>
      <c r="H74" s="5">
        <v>8</v>
      </c>
    </row>
  </sheetData>
  <mergeCells count="2">
    <mergeCell ref="B2:D2"/>
    <mergeCell ref="B29:C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peraciones">
                <anchor moveWithCells="1" sizeWithCells="1">
                  <from>
                    <xdr:col>9</xdr:col>
                    <xdr:colOff>0</xdr:colOff>
                    <xdr:row>4</xdr:row>
                    <xdr:rowOff>152400</xdr:rowOff>
                  </from>
                  <to>
                    <xdr:col>11</xdr:col>
                    <xdr:colOff>752475</xdr:colOff>
                    <xdr:row>6</xdr:row>
                    <xdr:rowOff>180975</xdr:rowOff>
                  </to>
                </anchor>
              </controlPr>
            </control>
          </mc:Choice>
        </mc:AlternateContent>
        <mc:AlternateContent xmlns:mc="http://schemas.openxmlformats.org/markup-compatibility/2006">
          <mc:Choice Requires="x14">
            <control shapeId="8197" r:id="rId4" name="Button 5">
              <controlPr defaultSize="0" print="0" autoFill="0" autoPict="0" macro="[0]!Operaciones">
                <anchor moveWithCells="1" sizeWithCells="1">
                  <from>
                    <xdr:col>9</xdr:col>
                    <xdr:colOff>0</xdr:colOff>
                    <xdr:row>29</xdr:row>
                    <xdr:rowOff>152400</xdr:rowOff>
                  </from>
                  <to>
                    <xdr:col>11</xdr:col>
                    <xdr:colOff>752475</xdr:colOff>
                    <xdr:row>31</xdr:row>
                    <xdr:rowOff>180975</xdr:rowOff>
                  </to>
                </anchor>
              </controlPr>
            </control>
          </mc:Choice>
        </mc:AlternateContent>
        <mc:AlternateContent xmlns:mc="http://schemas.openxmlformats.org/markup-compatibility/2006">
          <mc:Choice Requires="x14">
            <control shapeId="8198" r:id="rId5" name="Button 6">
              <controlPr defaultSize="0" print="0" autoFill="0" autoPict="0" macro="[0]!Operaciones">
                <anchor moveWithCells="1" sizeWithCells="1">
                  <from>
                    <xdr:col>7</xdr:col>
                    <xdr:colOff>0</xdr:colOff>
                    <xdr:row>64</xdr:row>
                    <xdr:rowOff>152400</xdr:rowOff>
                  </from>
                  <to>
                    <xdr:col>9</xdr:col>
                    <xdr:colOff>752475</xdr:colOff>
                    <xdr:row>66</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50BA5-674F-43C1-89FD-9051D9B6CAE1}">
  <sheetPr codeName="Hoja3"/>
  <dimension ref="A2:K22"/>
  <sheetViews>
    <sheetView topLeftCell="A16" workbookViewId="0">
      <selection activeCell="C4" sqref="C4"/>
    </sheetView>
  </sheetViews>
  <sheetFormatPr baseColWidth="10" defaultRowHeight="15" x14ac:dyDescent="0.25"/>
  <cols>
    <col min="1" max="1" width="12.28515625" customWidth="1"/>
    <col min="2" max="2" width="10.140625" customWidth="1"/>
    <col min="3" max="3" width="37" bestFit="1" customWidth="1"/>
    <col min="4" max="4" width="13.42578125" customWidth="1"/>
  </cols>
  <sheetData>
    <row r="2" spans="1:11" x14ac:dyDescent="0.25">
      <c r="A2" t="s">
        <v>115</v>
      </c>
    </row>
    <row r="3" spans="1:11" x14ac:dyDescent="0.25">
      <c r="A3" t="s">
        <v>114</v>
      </c>
      <c r="B3" t="s">
        <v>105</v>
      </c>
      <c r="C3" t="s">
        <v>92</v>
      </c>
      <c r="K3" s="1"/>
    </row>
    <row r="5" spans="1:11" x14ac:dyDescent="0.25">
      <c r="A5" t="s">
        <v>116</v>
      </c>
    </row>
    <row r="6" spans="1:11" x14ac:dyDescent="0.25">
      <c r="A6" t="s">
        <v>117</v>
      </c>
      <c r="B6" t="s">
        <v>105</v>
      </c>
      <c r="C6" t="s">
        <v>118</v>
      </c>
    </row>
    <row r="7" spans="1:11" x14ac:dyDescent="0.25">
      <c r="A7" t="s">
        <v>47</v>
      </c>
      <c r="B7" t="s">
        <v>105</v>
      </c>
      <c r="C7" t="s">
        <v>118</v>
      </c>
      <c r="D7" s="1"/>
    </row>
    <row r="9" spans="1:11" x14ac:dyDescent="0.25">
      <c r="A9" t="s">
        <v>119</v>
      </c>
    </row>
    <row r="11" spans="1:11" x14ac:dyDescent="0.25">
      <c r="A11" t="s">
        <v>120</v>
      </c>
    </row>
    <row r="12" spans="1:11" x14ac:dyDescent="0.25">
      <c r="A12" t="s">
        <v>121</v>
      </c>
    </row>
    <row r="14" spans="1:11" x14ac:dyDescent="0.25">
      <c r="A14" t="s">
        <v>122</v>
      </c>
    </row>
    <row r="15" spans="1:11" x14ac:dyDescent="0.25">
      <c r="A15" s="9" t="s">
        <v>91</v>
      </c>
      <c r="B15" s="9"/>
      <c r="D15" s="11" t="s">
        <v>47</v>
      </c>
      <c r="F15" s="5" t="s">
        <v>92</v>
      </c>
    </row>
    <row r="16" spans="1:11" x14ac:dyDescent="0.25">
      <c r="A16" s="9">
        <v>3</v>
      </c>
      <c r="B16" s="9">
        <v>1</v>
      </c>
      <c r="C16" t="s">
        <v>107</v>
      </c>
      <c r="D16" s="11" t="s">
        <v>123</v>
      </c>
      <c r="E16" t="s">
        <v>105</v>
      </c>
      <c r="F16" s="15">
        <v>3</v>
      </c>
    </row>
    <row r="17" spans="1:6" x14ac:dyDescent="0.25">
      <c r="A17" s="9">
        <v>2</v>
      </c>
      <c r="B17" s="9">
        <v>2</v>
      </c>
      <c r="D17" s="11" t="s">
        <v>124</v>
      </c>
      <c r="F17" s="15">
        <v>4</v>
      </c>
    </row>
    <row r="20" spans="1:6" x14ac:dyDescent="0.25">
      <c r="A20" s="9" t="s">
        <v>125</v>
      </c>
      <c r="B20" s="9"/>
      <c r="C20" t="s">
        <v>107</v>
      </c>
      <c r="D20" s="5" t="s">
        <v>92</v>
      </c>
      <c r="F20" s="11" t="s">
        <v>47</v>
      </c>
    </row>
    <row r="21" spans="1:6" x14ac:dyDescent="0.25">
      <c r="A21" s="9">
        <v>0.5</v>
      </c>
      <c r="B21" s="9">
        <v>-0.24999999999999997</v>
      </c>
      <c r="D21" s="15">
        <v>3</v>
      </c>
      <c r="E21" t="s">
        <v>105</v>
      </c>
      <c r="F21" s="16">
        <v>0.50000000000000011</v>
      </c>
    </row>
    <row r="22" spans="1:6" x14ac:dyDescent="0.25">
      <c r="A22" s="9">
        <v>-0.49999999999999989</v>
      </c>
      <c r="B22" s="9">
        <v>0.74999999999999989</v>
      </c>
      <c r="D22" s="15">
        <v>4</v>
      </c>
      <c r="F22" s="16">
        <v>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Invodeter">
                <anchor moveWithCells="1" sizeWithCells="1">
                  <from>
                    <xdr:col>0</xdr:col>
                    <xdr:colOff>342900</xdr:colOff>
                    <xdr:row>26</xdr:row>
                    <xdr:rowOff>0</xdr:rowOff>
                  </from>
                  <to>
                    <xdr:col>1</xdr:col>
                    <xdr:colOff>581025</xdr:colOff>
                    <xdr:row>28</xdr:row>
                    <xdr:rowOff>28575</xdr:rowOff>
                  </to>
                </anchor>
              </controlPr>
            </control>
          </mc:Choice>
        </mc:AlternateContent>
        <mc:AlternateContent xmlns:mc="http://schemas.openxmlformats.org/markup-compatibility/2006">
          <mc:Choice Requires="x14">
            <control shapeId="7170" r:id="rId4" name="Button 2">
              <controlPr defaultSize="0" print="0" autoFill="0" autoPict="0" macro="[0]!Operaciones">
                <anchor moveWithCells="1" sizeWithCells="1">
                  <from>
                    <xdr:col>2</xdr:col>
                    <xdr:colOff>95250</xdr:colOff>
                    <xdr:row>25</xdr:row>
                    <xdr:rowOff>171450</xdr:rowOff>
                  </from>
                  <to>
                    <xdr:col>2</xdr:col>
                    <xdr:colOff>2257425</xdr:colOff>
                    <xdr:row>28</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AE993-854F-4069-AC59-8583D67B2FDB}">
  <sheetPr codeName="Hoja6"/>
  <dimension ref="B4:P34"/>
  <sheetViews>
    <sheetView topLeftCell="A16" workbookViewId="0">
      <selection activeCell="F35" sqref="F35"/>
    </sheetView>
  </sheetViews>
  <sheetFormatPr baseColWidth="10" defaultRowHeight="15" x14ac:dyDescent="0.25"/>
  <sheetData>
    <row r="4" spans="2:16" x14ac:dyDescent="0.25">
      <c r="B4" t="s">
        <v>79</v>
      </c>
      <c r="G4" t="s">
        <v>82</v>
      </c>
    </row>
    <row r="5" spans="2:16" x14ac:dyDescent="0.25">
      <c r="B5" t="s">
        <v>77</v>
      </c>
      <c r="C5" t="s">
        <v>80</v>
      </c>
      <c r="G5" t="s">
        <v>78</v>
      </c>
      <c r="H5" t="s">
        <v>84</v>
      </c>
    </row>
    <row r="6" spans="2:16" x14ac:dyDescent="0.25">
      <c r="B6" t="s">
        <v>78</v>
      </c>
      <c r="C6" t="s">
        <v>81</v>
      </c>
      <c r="G6" t="s">
        <v>83</v>
      </c>
      <c r="H6" t="s">
        <v>85</v>
      </c>
    </row>
    <row r="9" spans="2:16" x14ac:dyDescent="0.25">
      <c r="B9" t="s">
        <v>86</v>
      </c>
    </row>
    <row r="10" spans="2:16" x14ac:dyDescent="0.25">
      <c r="C10" s="9" t="s">
        <v>88</v>
      </c>
      <c r="D10" s="9"/>
      <c r="E10" s="9"/>
      <c r="G10" s="10" t="s">
        <v>89</v>
      </c>
      <c r="H10" s="10"/>
      <c r="I10" s="10"/>
      <c r="K10" s="3" t="s">
        <v>90</v>
      </c>
      <c r="L10" s="3"/>
      <c r="M10" s="3"/>
    </row>
    <row r="11" spans="2:16" x14ac:dyDescent="0.25">
      <c r="C11" s="9" t="s">
        <v>77</v>
      </c>
      <c r="D11" s="9" t="s">
        <v>47</v>
      </c>
      <c r="E11" s="7" t="s">
        <v>78</v>
      </c>
      <c r="G11" s="8" t="s">
        <v>78</v>
      </c>
      <c r="H11" s="10" t="s">
        <v>87</v>
      </c>
      <c r="I11" s="10" t="s">
        <v>83</v>
      </c>
      <c r="K11" s="9" t="s">
        <v>77</v>
      </c>
      <c r="L11" s="3" t="s">
        <v>47</v>
      </c>
      <c r="M11" s="11" t="s">
        <v>83</v>
      </c>
    </row>
    <row r="14" spans="2:16" x14ac:dyDescent="0.25">
      <c r="D14" t="s">
        <v>91</v>
      </c>
      <c r="H14" t="s">
        <v>92</v>
      </c>
    </row>
    <row r="15" spans="2:16" x14ac:dyDescent="0.25">
      <c r="C15" s="4">
        <v>1</v>
      </c>
      <c r="D15" s="4">
        <v>3</v>
      </c>
      <c r="E15" s="4">
        <v>10</v>
      </c>
      <c r="G15" s="11">
        <v>1</v>
      </c>
      <c r="H15" s="11">
        <v>5</v>
      </c>
      <c r="I15" s="11">
        <v>10</v>
      </c>
      <c r="J15" s="11">
        <v>1</v>
      </c>
      <c r="P15" s="12"/>
    </row>
    <row r="16" spans="2:16" x14ac:dyDescent="0.25">
      <c r="C16" s="4">
        <v>2</v>
      </c>
      <c r="D16" s="4">
        <v>4</v>
      </c>
      <c r="E16" s="4">
        <v>6</v>
      </c>
      <c r="G16" s="11">
        <v>20</v>
      </c>
      <c r="H16" s="11">
        <v>2</v>
      </c>
      <c r="I16" s="11">
        <v>7</v>
      </c>
      <c r="J16" s="11">
        <v>4</v>
      </c>
      <c r="O16" s="12"/>
      <c r="P16" s="12"/>
    </row>
    <row r="17" spans="2:16" x14ac:dyDescent="0.25">
      <c r="G17" s="11">
        <v>30</v>
      </c>
      <c r="H17" s="11">
        <v>3</v>
      </c>
      <c r="I17" s="11">
        <v>8</v>
      </c>
      <c r="J17" s="11">
        <v>9</v>
      </c>
      <c r="O17" s="12"/>
      <c r="P17" s="12"/>
    </row>
    <row r="18" spans="2:16" x14ac:dyDescent="0.25">
      <c r="G18" s="13"/>
      <c r="H18" s="13"/>
      <c r="I18" s="13"/>
      <c r="J18" s="13"/>
    </row>
    <row r="21" spans="2:16" x14ac:dyDescent="0.25">
      <c r="E21" s="12"/>
    </row>
    <row r="26" spans="2:16" x14ac:dyDescent="0.25">
      <c r="D26" t="s">
        <v>94</v>
      </c>
      <c r="G26" t="s">
        <v>92</v>
      </c>
    </row>
    <row r="27" spans="2:16" x14ac:dyDescent="0.25">
      <c r="B27" s="13"/>
      <c r="C27" s="4">
        <v>1</v>
      </c>
      <c r="D27" s="4">
        <v>2</v>
      </c>
      <c r="E27" s="13"/>
      <c r="F27" s="13"/>
      <c r="G27" s="11">
        <v>1</v>
      </c>
      <c r="H27" s="11">
        <v>5</v>
      </c>
      <c r="I27" s="11">
        <v>10</v>
      </c>
      <c r="J27" s="11">
        <v>1</v>
      </c>
    </row>
    <row r="28" spans="2:16" x14ac:dyDescent="0.25">
      <c r="B28" s="13"/>
      <c r="C28" s="4">
        <v>3</v>
      </c>
      <c r="D28" s="4">
        <v>4</v>
      </c>
      <c r="E28" s="13"/>
      <c r="F28" s="13"/>
      <c r="G28" s="11">
        <v>20</v>
      </c>
      <c r="H28" s="11">
        <v>2</v>
      </c>
      <c r="I28" s="11">
        <v>7</v>
      </c>
      <c r="J28" s="11">
        <v>4</v>
      </c>
    </row>
    <row r="29" spans="2:16" x14ac:dyDescent="0.25">
      <c r="B29" s="13"/>
      <c r="C29" s="4">
        <v>10</v>
      </c>
      <c r="D29" s="4">
        <v>6</v>
      </c>
      <c r="E29" s="13"/>
      <c r="F29" s="13"/>
      <c r="G29" s="11">
        <v>30</v>
      </c>
      <c r="H29" s="11">
        <v>3</v>
      </c>
      <c r="I29" s="11">
        <v>8</v>
      </c>
      <c r="J29" s="11">
        <v>9</v>
      </c>
    </row>
    <row r="30" spans="2:16" x14ac:dyDescent="0.25">
      <c r="B30" s="13"/>
      <c r="C30" s="13"/>
      <c r="D30" s="13"/>
      <c r="E30" s="13"/>
      <c r="F30" s="13"/>
      <c r="G30" s="13"/>
      <c r="H30" s="13"/>
      <c r="I30" s="13"/>
      <c r="J30" s="13"/>
    </row>
    <row r="31" spans="2:16" x14ac:dyDescent="0.25">
      <c r="B31" s="13"/>
      <c r="C31" s="13"/>
      <c r="D31" s="13"/>
      <c r="E31" s="13"/>
      <c r="F31" s="13"/>
      <c r="G31" s="13"/>
      <c r="H31" s="13"/>
      <c r="I31" s="13"/>
      <c r="J31" s="13"/>
    </row>
    <row r="32" spans="2:16" x14ac:dyDescent="0.25">
      <c r="B32" s="13"/>
      <c r="C32" s="13" t="s">
        <v>93</v>
      </c>
      <c r="D32" s="13"/>
      <c r="E32" s="13"/>
      <c r="F32" s="13"/>
      <c r="G32" s="13"/>
      <c r="H32" s="13"/>
      <c r="I32" s="13"/>
      <c r="J32" s="13"/>
    </row>
    <row r="33" spans="3:6" x14ac:dyDescent="0.25">
      <c r="C33" s="3">
        <f>SUMPRODUCT($C$27:$C$29,G$27:G$29)</f>
        <v>361</v>
      </c>
      <c r="D33" s="3">
        <f>SUMPRODUCT($C$27:$C$29,H$27:H$29)</f>
        <v>41</v>
      </c>
      <c r="E33" s="3">
        <f>SUMPRODUCT($C$27:$C$29,I$27:I$29)</f>
        <v>111</v>
      </c>
      <c r="F33" s="3">
        <f>SUMPRODUCT($C$27:$C$29,J$27:J$29)</f>
        <v>103</v>
      </c>
    </row>
    <row r="34" spans="3:6" x14ac:dyDescent="0.25">
      <c r="C34" s="3">
        <f>SUMPRODUCT($D$27:$D$29,G$27:G$29)</f>
        <v>262</v>
      </c>
      <c r="D34" s="3">
        <f>SUMPRODUCT($D$27:$D$29,H$27:H$29)</f>
        <v>36</v>
      </c>
      <c r="E34" s="3">
        <f>SUMPRODUCT($D$27:$D$29,I$27:I$29)</f>
        <v>96</v>
      </c>
      <c r="F34" s="3">
        <f>SUMPRODUCT($D$27:$D$29,J$27:J$29)</f>
        <v>72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Operaciones">
                <anchor moveWithCells="1" sizeWithCells="1">
                  <from>
                    <xdr:col>0</xdr:col>
                    <xdr:colOff>571500</xdr:colOff>
                    <xdr:row>20</xdr:row>
                    <xdr:rowOff>19050</xdr:rowOff>
                  </from>
                  <to>
                    <xdr:col>3</xdr:col>
                    <xdr:colOff>561975</xdr:colOff>
                    <xdr:row>22</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E0257-3555-46DD-8520-B71B57DDA57E}">
  <sheetPr codeName="Hoja7"/>
  <dimension ref="A1:F24"/>
  <sheetViews>
    <sheetView topLeftCell="A10" workbookViewId="0">
      <selection activeCell="A23" sqref="A23"/>
    </sheetView>
  </sheetViews>
  <sheetFormatPr baseColWidth="10" defaultRowHeight="15" x14ac:dyDescent="0.25"/>
  <sheetData>
    <row r="1" spans="1:5" x14ac:dyDescent="0.25">
      <c r="C1" t="s">
        <v>5</v>
      </c>
      <c r="D1" t="s">
        <v>6</v>
      </c>
    </row>
    <row r="2" spans="1:5" x14ac:dyDescent="0.25">
      <c r="A2" t="s">
        <v>95</v>
      </c>
      <c r="C2">
        <v>1</v>
      </c>
      <c r="D2">
        <v>3</v>
      </c>
    </row>
    <row r="3" spans="1:5" x14ac:dyDescent="0.25">
      <c r="C3">
        <v>1</v>
      </c>
      <c r="D3">
        <v>1</v>
      </c>
    </row>
    <row r="5" spans="1:5" x14ac:dyDescent="0.25">
      <c r="A5" t="s">
        <v>96</v>
      </c>
      <c r="C5" t="s">
        <v>97</v>
      </c>
      <c r="D5" t="s">
        <v>98</v>
      </c>
    </row>
    <row r="6" spans="1:5" x14ac:dyDescent="0.25">
      <c r="C6">
        <v>1</v>
      </c>
      <c r="D6">
        <v>0</v>
      </c>
    </row>
    <row r="7" spans="1:5" x14ac:dyDescent="0.25">
      <c r="C7">
        <v>0</v>
      </c>
      <c r="D7">
        <v>1</v>
      </c>
    </row>
    <row r="9" spans="1:5" x14ac:dyDescent="0.25">
      <c r="A9" t="s">
        <v>99</v>
      </c>
      <c r="B9" t="s">
        <v>102</v>
      </c>
      <c r="C9" t="s">
        <v>100</v>
      </c>
      <c r="D9" t="s">
        <v>101</v>
      </c>
    </row>
    <row r="10" spans="1:5" x14ac:dyDescent="0.25">
      <c r="A10" t="s">
        <v>103</v>
      </c>
    </row>
    <row r="12" spans="1:5" ht="15" customHeight="1" x14ac:dyDescent="0.25">
      <c r="B12" s="52" t="s">
        <v>104</v>
      </c>
      <c r="D12">
        <v>1</v>
      </c>
      <c r="E12">
        <v>3</v>
      </c>
    </row>
    <row r="13" spans="1:5" x14ac:dyDescent="0.25">
      <c r="B13" s="52"/>
      <c r="D13">
        <v>1</v>
      </c>
      <c r="E13">
        <v>1</v>
      </c>
    </row>
    <row r="14" spans="1:5" ht="15" customHeight="1" x14ac:dyDescent="0.25">
      <c r="B14" s="52"/>
    </row>
    <row r="15" spans="1:5" x14ac:dyDescent="0.25">
      <c r="B15" s="12"/>
    </row>
    <row r="16" spans="1:5" x14ac:dyDescent="0.25">
      <c r="A16" t="s">
        <v>106</v>
      </c>
    </row>
    <row r="18" spans="1:6" x14ac:dyDescent="0.25">
      <c r="A18" t="s">
        <v>108</v>
      </c>
      <c r="D18" t="s">
        <v>112</v>
      </c>
      <c r="F18" t="s">
        <v>109</v>
      </c>
    </row>
    <row r="19" spans="1:6" x14ac:dyDescent="0.25">
      <c r="A19">
        <v>1</v>
      </c>
      <c r="B19">
        <v>3</v>
      </c>
      <c r="C19" t="s">
        <v>107</v>
      </c>
      <c r="D19" s="3">
        <f>3/2</f>
        <v>1.5</v>
      </c>
      <c r="E19" t="s">
        <v>105</v>
      </c>
      <c r="F19" s="14">
        <v>3</v>
      </c>
    </row>
    <row r="20" spans="1:6" x14ac:dyDescent="0.25">
      <c r="A20">
        <v>1</v>
      </c>
      <c r="B20">
        <v>1</v>
      </c>
      <c r="D20" s="3">
        <f>1/2</f>
        <v>0.5</v>
      </c>
      <c r="F20" s="14">
        <v>2</v>
      </c>
    </row>
    <row r="22" spans="1:6" x14ac:dyDescent="0.25">
      <c r="A22" t="s">
        <v>110</v>
      </c>
      <c r="D22" t="s">
        <v>111</v>
      </c>
      <c r="F22" t="s">
        <v>113</v>
      </c>
    </row>
    <row r="23" spans="1:6" x14ac:dyDescent="0.25">
      <c r="A23">
        <v>-0.5</v>
      </c>
      <c r="B23">
        <v>1.5</v>
      </c>
      <c r="C23" t="s">
        <v>107</v>
      </c>
      <c r="D23" s="14">
        <v>3</v>
      </c>
      <c r="E23" t="s">
        <v>105</v>
      </c>
      <c r="F23" s="3">
        <v>1.5</v>
      </c>
    </row>
    <row r="24" spans="1:6" x14ac:dyDescent="0.25">
      <c r="A24">
        <v>0.5</v>
      </c>
      <c r="B24">
        <v>-0.5</v>
      </c>
      <c r="D24" s="14">
        <v>2</v>
      </c>
      <c r="F24" s="3">
        <v>0.5</v>
      </c>
    </row>
  </sheetData>
  <mergeCells count="1">
    <mergeCell ref="B12:B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Operaciones">
                <anchor moveWithCells="1" sizeWithCells="1">
                  <from>
                    <xdr:col>9</xdr:col>
                    <xdr:colOff>0</xdr:colOff>
                    <xdr:row>15</xdr:row>
                    <xdr:rowOff>161925</xdr:rowOff>
                  </from>
                  <to>
                    <xdr:col>11</xdr:col>
                    <xdr:colOff>752475</xdr:colOff>
                    <xdr:row>19</xdr:row>
                    <xdr:rowOff>0</xdr:rowOff>
                  </to>
                </anchor>
              </controlPr>
            </control>
          </mc:Choice>
        </mc:AlternateContent>
        <mc:AlternateContent xmlns:mc="http://schemas.openxmlformats.org/markup-compatibility/2006">
          <mc:Choice Requires="x14">
            <control shapeId="10243" r:id="rId4" name="Button 3">
              <controlPr defaultSize="0" print="0" autoFill="0" autoPict="0" macro="[0]!Invodeter">
                <anchor moveWithCells="1" sizeWithCells="1">
                  <from>
                    <xdr:col>9</xdr:col>
                    <xdr:colOff>95250</xdr:colOff>
                    <xdr:row>23</xdr:row>
                    <xdr:rowOff>9525</xdr:rowOff>
                  </from>
                  <to>
                    <xdr:col>12</xdr:col>
                    <xdr:colOff>85725</xdr:colOff>
                    <xdr:row>25</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44F55-D3A1-4D99-8756-3C0F0158A2E9}">
  <sheetPr codeName="Hoja8"/>
  <dimension ref="A1:I18"/>
  <sheetViews>
    <sheetView topLeftCell="A7" workbookViewId="0">
      <selection activeCell="F17" sqref="F17"/>
    </sheetView>
  </sheetViews>
  <sheetFormatPr baseColWidth="10" defaultRowHeight="15" x14ac:dyDescent="0.25"/>
  <sheetData>
    <row r="1" spans="1:9" x14ac:dyDescent="0.25">
      <c r="A1" t="s">
        <v>145</v>
      </c>
    </row>
    <row r="3" spans="1:9" x14ac:dyDescent="0.25">
      <c r="A3" t="s">
        <v>146</v>
      </c>
      <c r="B3" t="s">
        <v>147</v>
      </c>
    </row>
    <row r="4" spans="1:9" x14ac:dyDescent="0.25">
      <c r="A4">
        <v>2</v>
      </c>
      <c r="B4">
        <v>-2</v>
      </c>
    </row>
    <row r="5" spans="1:9" x14ac:dyDescent="0.25">
      <c r="A5">
        <v>2</v>
      </c>
      <c r="B5">
        <v>1</v>
      </c>
    </row>
    <row r="8" spans="1:9" x14ac:dyDescent="0.25">
      <c r="A8" t="s">
        <v>188</v>
      </c>
      <c r="B8" t="s">
        <v>189</v>
      </c>
    </row>
    <row r="9" spans="1:9" x14ac:dyDescent="0.25">
      <c r="A9">
        <f>SUMPRODUCT(A4:A5,A4:A5)</f>
        <v>8</v>
      </c>
      <c r="B9">
        <f t="shared" ref="B9" si="0">SUMPRODUCT(B4:B5,B4:B5)</f>
        <v>5</v>
      </c>
    </row>
    <row r="11" spans="1:9" x14ac:dyDescent="0.25">
      <c r="A11" t="s">
        <v>186</v>
      </c>
      <c r="B11" t="s">
        <v>187</v>
      </c>
    </row>
    <row r="12" spans="1:9" x14ac:dyDescent="0.25">
      <c r="A12">
        <f>A4/$A$9</f>
        <v>0.25</v>
      </c>
      <c r="B12">
        <f>B4/$B$9</f>
        <v>-0.4</v>
      </c>
    </row>
    <row r="13" spans="1:9" x14ac:dyDescent="0.25">
      <c r="A13">
        <f>A5/$A$9</f>
        <v>0.25</v>
      </c>
      <c r="B13">
        <f>B5/$B$9</f>
        <v>0.2</v>
      </c>
    </row>
    <row r="14" spans="1:9" x14ac:dyDescent="0.25">
      <c r="F14" t="s">
        <v>147</v>
      </c>
    </row>
    <row r="15" spans="1:9" x14ac:dyDescent="0.25">
      <c r="A15" t="s">
        <v>190</v>
      </c>
    </row>
    <row r="16" spans="1:9" x14ac:dyDescent="0.25">
      <c r="A16" t="s">
        <v>147</v>
      </c>
      <c r="C16" t="s">
        <v>107</v>
      </c>
      <c r="D16" t="s">
        <v>186</v>
      </c>
      <c r="F16" t="s">
        <v>191</v>
      </c>
      <c r="I16" t="s">
        <v>186</v>
      </c>
    </row>
    <row r="17" spans="1:9" x14ac:dyDescent="0.25">
      <c r="A17">
        <v>2</v>
      </c>
      <c r="B17">
        <v>2</v>
      </c>
      <c r="D17">
        <v>0.25</v>
      </c>
      <c r="I17">
        <v>0.25</v>
      </c>
    </row>
    <row r="18" spans="1:9" x14ac:dyDescent="0.25">
      <c r="D18">
        <v>0.25</v>
      </c>
      <c r="I18">
        <v>0.25</v>
      </c>
    </row>
  </sheetData>
  <phoneticPr fontId="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Operaciones">
                <anchor moveWithCells="1" sizeWithCells="1">
                  <from>
                    <xdr:col>4</xdr:col>
                    <xdr:colOff>266700</xdr:colOff>
                    <xdr:row>5</xdr:row>
                    <xdr:rowOff>161925</xdr:rowOff>
                  </from>
                  <to>
                    <xdr:col>7</xdr:col>
                    <xdr:colOff>142875</xdr:colOff>
                    <xdr:row>8</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CAAB0-A448-46DF-A9A7-00B7C5EA46D1}">
  <sheetPr codeName="Hoja10"/>
  <dimension ref="B2:O59"/>
  <sheetViews>
    <sheetView workbookViewId="0">
      <selection activeCell="B57" sqref="B57:C58"/>
    </sheetView>
  </sheetViews>
  <sheetFormatPr baseColWidth="10" defaultRowHeight="15" x14ac:dyDescent="0.25"/>
  <sheetData>
    <row r="2" spans="2:11" x14ac:dyDescent="0.25">
      <c r="B2" t="s">
        <v>153</v>
      </c>
    </row>
    <row r="3" spans="2:11" x14ac:dyDescent="0.25">
      <c r="B3" t="s">
        <v>154</v>
      </c>
    </row>
    <row r="4" spans="2:11" x14ac:dyDescent="0.25">
      <c r="B4" t="s">
        <v>155</v>
      </c>
    </row>
    <row r="6" spans="2:11" x14ac:dyDescent="0.25">
      <c r="B6" s="2" t="s">
        <v>156</v>
      </c>
      <c r="C6" s="2" t="s">
        <v>159</v>
      </c>
      <c r="D6" s="40" t="s">
        <v>11</v>
      </c>
      <c r="E6" s="41" t="s">
        <v>93</v>
      </c>
      <c r="F6" s="42" t="s">
        <v>160</v>
      </c>
      <c r="G6" s="40" t="s">
        <v>158</v>
      </c>
      <c r="H6" s="47">
        <v>0</v>
      </c>
      <c r="I6" s="43" t="s">
        <v>161</v>
      </c>
      <c r="J6" t="s">
        <v>105</v>
      </c>
      <c r="K6">
        <v>0</v>
      </c>
    </row>
    <row r="7" spans="2:11" x14ac:dyDescent="0.25">
      <c r="C7" s="2"/>
      <c r="D7" s="44" t="s">
        <v>12</v>
      </c>
      <c r="E7" s="45" t="s">
        <v>157</v>
      </c>
      <c r="F7" s="2"/>
      <c r="G7" s="46">
        <v>0</v>
      </c>
      <c r="H7" s="45" t="s">
        <v>158</v>
      </c>
      <c r="I7" s="2"/>
    </row>
    <row r="10" spans="2:11" x14ac:dyDescent="0.25">
      <c r="B10" t="s">
        <v>156</v>
      </c>
      <c r="C10" t="s">
        <v>159</v>
      </c>
      <c r="D10" s="40" t="s">
        <v>163</v>
      </c>
      <c r="E10" s="41" t="s">
        <v>93</v>
      </c>
      <c r="G10" t="s">
        <v>161</v>
      </c>
      <c r="H10">
        <f>0</f>
        <v>0</v>
      </c>
    </row>
    <row r="11" spans="2:11" x14ac:dyDescent="0.25">
      <c r="D11" s="44" t="s">
        <v>12</v>
      </c>
      <c r="E11" s="45" t="s">
        <v>164</v>
      </c>
    </row>
    <row r="14" spans="2:11" x14ac:dyDescent="0.25">
      <c r="B14" t="s">
        <v>166</v>
      </c>
      <c r="D14" t="s">
        <v>165</v>
      </c>
    </row>
    <row r="15" spans="2:11" x14ac:dyDescent="0.25">
      <c r="B15" t="s">
        <v>167</v>
      </c>
    </row>
    <row r="17" spans="2:4" x14ac:dyDescent="0.25">
      <c r="B17" t="s">
        <v>168</v>
      </c>
      <c r="D17" t="s">
        <v>162</v>
      </c>
    </row>
    <row r="18" spans="2:4" x14ac:dyDescent="0.25">
      <c r="B18" t="s">
        <v>169</v>
      </c>
    </row>
    <row r="21" spans="2:4" x14ac:dyDescent="0.25">
      <c r="B21" t="s">
        <v>177</v>
      </c>
    </row>
    <row r="23" spans="2:4" x14ac:dyDescent="0.25">
      <c r="B23" t="s">
        <v>178</v>
      </c>
    </row>
    <row r="25" spans="2:4" x14ac:dyDescent="0.25">
      <c r="B25">
        <v>8</v>
      </c>
      <c r="C25">
        <v>-21</v>
      </c>
    </row>
    <row r="26" spans="2:4" x14ac:dyDescent="0.25">
      <c r="B26">
        <v>2</v>
      </c>
      <c r="C26">
        <v>-5</v>
      </c>
    </row>
    <row r="28" spans="2:4" x14ac:dyDescent="0.25">
      <c r="B28" t="s">
        <v>179</v>
      </c>
    </row>
    <row r="29" spans="2:4" x14ac:dyDescent="0.25">
      <c r="B29" t="s">
        <v>146</v>
      </c>
    </row>
    <row r="30" spans="2:4" x14ac:dyDescent="0.25">
      <c r="B30">
        <v>1</v>
      </c>
    </row>
    <row r="31" spans="2:4" x14ac:dyDescent="0.25">
      <c r="B31">
        <v>0</v>
      </c>
    </row>
    <row r="33" spans="2:5" x14ac:dyDescent="0.25">
      <c r="B33" t="s">
        <v>180</v>
      </c>
    </row>
    <row r="35" spans="2:5" x14ac:dyDescent="0.25">
      <c r="B35">
        <v>8</v>
      </c>
    </row>
    <row r="36" spans="2:5" x14ac:dyDescent="0.25">
      <c r="B36">
        <v>2</v>
      </c>
    </row>
    <row r="40" spans="2:5" x14ac:dyDescent="0.25">
      <c r="B40" t="s">
        <v>181</v>
      </c>
    </row>
    <row r="41" spans="2:5" x14ac:dyDescent="0.25">
      <c r="C41" t="s">
        <v>91</v>
      </c>
      <c r="E41" t="s">
        <v>182</v>
      </c>
    </row>
    <row r="42" spans="2:5" x14ac:dyDescent="0.25">
      <c r="B42">
        <v>8</v>
      </c>
      <c r="C42">
        <v>-21</v>
      </c>
      <c r="E42">
        <v>8</v>
      </c>
    </row>
    <row r="43" spans="2:5" x14ac:dyDescent="0.25">
      <c r="B43">
        <v>2</v>
      </c>
      <c r="C43">
        <v>-5</v>
      </c>
      <c r="E43">
        <v>2</v>
      </c>
    </row>
    <row r="45" spans="2:5" x14ac:dyDescent="0.25">
      <c r="B45" t="s">
        <v>183</v>
      </c>
    </row>
    <row r="46" spans="2:5" x14ac:dyDescent="0.25">
      <c r="B46">
        <v>22</v>
      </c>
    </row>
    <row r="47" spans="2:5" x14ac:dyDescent="0.25">
      <c r="B47">
        <v>6</v>
      </c>
    </row>
    <row r="49" spans="2:15" x14ac:dyDescent="0.25">
      <c r="B49" t="s">
        <v>184</v>
      </c>
    </row>
    <row r="51" spans="2:15" x14ac:dyDescent="0.25">
      <c r="B51" t="s">
        <v>185</v>
      </c>
    </row>
    <row r="52" spans="2:15" x14ac:dyDescent="0.25">
      <c r="B52" s="30">
        <v>1</v>
      </c>
      <c r="C52" s="31">
        <v>8</v>
      </c>
      <c r="D52" s="32">
        <v>22</v>
      </c>
      <c r="E52" t="s">
        <v>107</v>
      </c>
      <c r="F52">
        <v>0</v>
      </c>
    </row>
    <row r="53" spans="2:15" x14ac:dyDescent="0.25">
      <c r="B53" s="33">
        <v>0</v>
      </c>
      <c r="C53" s="34">
        <v>2</v>
      </c>
      <c r="D53" s="35">
        <v>6</v>
      </c>
      <c r="F53">
        <v>0</v>
      </c>
    </row>
    <row r="57" spans="2:15" x14ac:dyDescent="0.25">
      <c r="N57" t="s">
        <v>47</v>
      </c>
    </row>
    <row r="58" spans="2:15" x14ac:dyDescent="0.25">
      <c r="M58" s="30"/>
      <c r="N58" s="31"/>
      <c r="O58" s="32"/>
    </row>
    <row r="59" spans="2:15" x14ac:dyDescent="0.25">
      <c r="M59" s="33"/>
      <c r="N59" s="34"/>
      <c r="O59" s="3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Operaciones">
                <anchor moveWithCells="1" sizeWithCells="1">
                  <from>
                    <xdr:col>6</xdr:col>
                    <xdr:colOff>438150</xdr:colOff>
                    <xdr:row>40</xdr:row>
                    <xdr:rowOff>152400</xdr:rowOff>
                  </from>
                  <to>
                    <xdr:col>9</xdr:col>
                    <xdr:colOff>314325</xdr:colOff>
                    <xdr:row>42</xdr:row>
                    <xdr:rowOff>180975</xdr:rowOff>
                  </to>
                </anchor>
              </controlPr>
            </control>
          </mc:Choice>
        </mc:AlternateContent>
        <mc:AlternateContent xmlns:mc="http://schemas.openxmlformats.org/markup-compatibility/2006">
          <mc:Choice Requires="x14">
            <control shapeId="22531" r:id="rId4" name="Button 3">
              <controlPr defaultSize="0" print="0" autoFill="0" autoPict="0" macro="[0]!Invodeter">
                <anchor moveWithCells="1" sizeWithCells="1">
                  <from>
                    <xdr:col>7</xdr:col>
                    <xdr:colOff>95250</xdr:colOff>
                    <xdr:row>56</xdr:row>
                    <xdr:rowOff>9525</xdr:rowOff>
                  </from>
                  <to>
                    <xdr:col>10</xdr:col>
                    <xdr:colOff>85725</xdr:colOff>
                    <xdr:row>58</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CE03B-2DB5-48C3-B328-CF3D845ABD3A}">
  <sheetPr codeName="Hoja11"/>
  <dimension ref="B2:I26"/>
  <sheetViews>
    <sheetView topLeftCell="A4" workbookViewId="0">
      <selection activeCell="B27" sqref="B27"/>
    </sheetView>
  </sheetViews>
  <sheetFormatPr baseColWidth="10" defaultRowHeight="15" x14ac:dyDescent="0.25"/>
  <sheetData>
    <row r="2" spans="2:9" x14ac:dyDescent="0.25">
      <c r="B2" t="s">
        <v>170</v>
      </c>
    </row>
    <row r="3" spans="2:9" x14ac:dyDescent="0.25">
      <c r="B3" t="s">
        <v>171</v>
      </c>
    </row>
    <row r="4" spans="2:9" x14ac:dyDescent="0.25">
      <c r="B4" t="s">
        <v>174</v>
      </c>
    </row>
    <row r="5" spans="2:9" x14ac:dyDescent="0.25">
      <c r="B5" t="s">
        <v>172</v>
      </c>
    </row>
    <row r="7" spans="2:9" x14ac:dyDescent="0.25">
      <c r="B7" s="48">
        <v>2</v>
      </c>
      <c r="C7" s="48">
        <v>0</v>
      </c>
      <c r="D7" s="48"/>
      <c r="E7" s="48">
        <v>2</v>
      </c>
      <c r="F7" s="48">
        <v>0</v>
      </c>
      <c r="G7" s="3"/>
      <c r="H7" s="3">
        <v>2</v>
      </c>
      <c r="I7" s="3">
        <v>0</v>
      </c>
    </row>
    <row r="8" spans="2:9" x14ac:dyDescent="0.25">
      <c r="B8" s="48">
        <v>0</v>
      </c>
      <c r="C8" s="48">
        <v>2</v>
      </c>
      <c r="D8" s="48"/>
      <c r="E8" s="48">
        <v>0</v>
      </c>
      <c r="F8" s="48">
        <v>2</v>
      </c>
      <c r="G8" s="3"/>
      <c r="H8" s="3">
        <v>0</v>
      </c>
      <c r="I8" s="3">
        <v>2</v>
      </c>
    </row>
    <row r="11" spans="2:9" x14ac:dyDescent="0.25">
      <c r="B11" s="48">
        <v>4</v>
      </c>
      <c r="C11" s="48">
        <v>0</v>
      </c>
      <c r="E11" s="3">
        <v>2</v>
      </c>
      <c r="F11" s="3">
        <v>0</v>
      </c>
    </row>
    <row r="12" spans="2:9" x14ac:dyDescent="0.25">
      <c r="B12" s="48">
        <v>0</v>
      </c>
      <c r="C12" s="48">
        <v>4</v>
      </c>
      <c r="E12" s="3">
        <v>0</v>
      </c>
      <c r="F12" s="3">
        <v>2</v>
      </c>
    </row>
    <row r="15" spans="2:9" x14ac:dyDescent="0.25">
      <c r="B15" s="3">
        <v>8</v>
      </c>
      <c r="C15" s="3">
        <v>0</v>
      </c>
    </row>
    <row r="16" spans="2:9" x14ac:dyDescent="0.25">
      <c r="B16" s="3">
        <v>0</v>
      </c>
      <c r="C16" s="3">
        <v>8</v>
      </c>
    </row>
    <row r="20" spans="2:6" x14ac:dyDescent="0.25">
      <c r="B20" t="s">
        <v>173</v>
      </c>
    </row>
    <row r="22" spans="2:6" x14ac:dyDescent="0.25">
      <c r="B22" s="49" t="s">
        <v>175</v>
      </c>
      <c r="C22" s="3">
        <v>0</v>
      </c>
      <c r="D22" t="s">
        <v>105</v>
      </c>
      <c r="E22" s="3">
        <v>8</v>
      </c>
      <c r="F22" s="3">
        <v>0</v>
      </c>
    </row>
    <row r="23" spans="2:6" x14ac:dyDescent="0.25">
      <c r="B23" s="49">
        <v>0</v>
      </c>
      <c r="C23" s="49" t="s">
        <v>175</v>
      </c>
      <c r="E23" s="3">
        <v>0</v>
      </c>
      <c r="F23" s="3">
        <v>8</v>
      </c>
    </row>
    <row r="26" spans="2:6" x14ac:dyDescent="0.25">
      <c r="B26" t="s">
        <v>176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raciones">
                <anchor moveWithCells="1" sizeWithCells="1">
                  <from>
                    <xdr:col>10</xdr:col>
                    <xdr:colOff>752475</xdr:colOff>
                    <xdr:row>8</xdr:row>
                    <xdr:rowOff>180975</xdr:rowOff>
                  </from>
                  <to>
                    <xdr:col>13</xdr:col>
                    <xdr:colOff>628650</xdr:colOff>
                    <xdr:row>11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800E-1035-4C0B-A11C-4234F6A36DF8}">
  <sheetPr codeName="Hoja12"/>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Macros de Excel 4.0</vt:lpstr>
      </vt:variant>
      <vt:variant>
        <vt:i4>1</vt:i4>
      </vt:variant>
    </vt:vector>
  </HeadingPairs>
  <TitlesOfParts>
    <vt:vector size="13" baseType="lpstr">
      <vt:lpstr>introducción</vt:lpstr>
      <vt:lpstr>Resumen operaciones</vt:lpstr>
      <vt:lpstr>proyecciones</vt:lpstr>
      <vt:lpstr>cambio_de_base</vt:lpstr>
      <vt:lpstr>transformaciones_matriciales</vt:lpstr>
      <vt:lpstr>inversa</vt:lpstr>
      <vt:lpstr>Sumatoria_einstein</vt:lpstr>
      <vt:lpstr>cambio_base_de_matrices </vt:lpstr>
      <vt:lpstr>Gram schmidt</vt:lpstr>
      <vt:lpstr>eigenvectores</vt:lpstr>
      <vt:lpstr>diagonalización</vt:lpstr>
      <vt:lpstr>Hoja2</vt:lpstr>
      <vt:lpstr>Macro1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David Céspedes</dc:creator>
  <cp:lastModifiedBy>Juan David Céspedes</cp:lastModifiedBy>
  <dcterms:created xsi:type="dcterms:W3CDTF">2021-08-19T21:46:04Z</dcterms:created>
  <dcterms:modified xsi:type="dcterms:W3CDTF">2022-06-04T22:37:34Z</dcterms:modified>
</cp:coreProperties>
</file>